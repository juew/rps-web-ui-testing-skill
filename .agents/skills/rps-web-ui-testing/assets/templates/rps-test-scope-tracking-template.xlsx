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测试任务跟踪" sheetId="1" state="visible" r:id="rId1"/>
    <sheet xmlns:r="http://schemas.openxmlformats.org/officeDocument/2006/relationships" name="模板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/d;@"/>
    <numFmt numFmtId="165" formatCode="yyyy&quot;年&quot;m&quot;月&quot;d&quot;日&quot;;@"/>
    <numFmt numFmtId="166" formatCode="yyyy\-mm\-dd"/>
    <numFmt numFmtId="167" formatCode="yyyy\-mm\-dd;@"/>
    <numFmt numFmtId="168" formatCode="0_ "/>
  </numFmts>
  <fonts count="41">
    <font>
      <name val="Microsoft YaHei"/>
      <charset val="134"/>
      <sz val="10"/>
    </font>
    <font>
      <name val="宋体"/>
      <charset val="134"/>
      <b val="1"/>
      <color rgb="FFFFFFFF"/>
      <sz val="14"/>
    </font>
    <font>
      <name val="宋体"/>
      <charset val="134"/>
      <b val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宋体"/>
      <charset val="134"/>
      <sz val="11"/>
    </font>
    <font>
      <name val="宋体"/>
      <charset val="134"/>
      <b val="1"/>
      <sz val="12"/>
    </font>
    <font>
      <name val="Times New Roman"/>
      <charset val="134"/>
      <sz val="12"/>
    </font>
    <font>
      <name val="宋体"/>
      <charset val="134"/>
      <sz val="12"/>
    </font>
    <font>
      <name val="SimSun"/>
      <charset val="134"/>
      <b val="1"/>
      <sz val="9"/>
    </font>
    <font>
      <name val="SimSun"/>
      <charset val="134"/>
      <color rgb="FFFF0000"/>
      <sz val="9"/>
    </font>
    <font>
      <name val="SimSun"/>
      <charset val="134"/>
      <color rgb="FF0EA288"/>
      <sz val="9"/>
    </font>
    <font>
      <name val="SimSun"/>
      <charset val="134"/>
      <sz val="9"/>
    </font>
    <font>
      <name val="SimSun"/>
      <charset val="134"/>
      <b val="1"/>
      <color rgb="FF0A7966"/>
      <sz val="9"/>
    </font>
    <font>
      <name val="宋体"/>
      <charset val="134"/>
      <b val="1"/>
      <color rgb="FF0A7966"/>
      <sz val="12"/>
    </font>
    <font>
      <name val="SimSun"/>
      <charset val="134"/>
      <color rgb="FF76E2C5"/>
      <sz val="9"/>
    </font>
    <font>
      <name val="SimSun"/>
      <charset val="134"/>
      <color rgb="FF00B0F0"/>
      <sz val="9"/>
    </font>
    <font>
      <name val="Microsoft YaHei"/>
      <charset val="134"/>
      <color rgb="FF00B0F0"/>
      <sz val="10"/>
    </font>
    <font>
      <name val="Microsoft YaHei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imSun"/>
      <charset val="134"/>
      <color rgb="FF0A7966"/>
      <sz val="9"/>
    </font>
    <font>
      <b val="1"/>
      <color rgb="00FFFFFF"/>
    </font>
  </fonts>
  <fills count="39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CFDFC"/>
        <bgColor indexed="64"/>
      </patternFill>
    </fill>
    <fill>
      <patternFill patternType="solid">
        <fgColor rgb="FF9FE7D7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A7966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hair">
        <color rgb="FFFFFFFF"/>
      </right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/>
      <top/>
      <bottom/>
      <diagonal/>
    </border>
    <border>
      <left style="thin">
        <color rgb="FF0EA288"/>
      </left>
      <right style="hair">
        <color rgb="FF0EA288"/>
      </right>
      <top/>
      <bottom style="hair">
        <color rgb="FF0EA288"/>
      </bottom>
      <diagonal/>
    </border>
    <border>
      <left/>
      <right style="hair">
        <color rgb="FF0EA288"/>
      </right>
      <top/>
      <bottom style="hair">
        <color rgb="FF0EA288"/>
      </bottom>
      <diagonal/>
    </border>
    <border>
      <left style="hair">
        <color rgb="FF0EA288"/>
      </left>
      <right style="hair">
        <color rgb="FF0EA288"/>
      </right>
      <top/>
      <bottom style="hair">
        <color rgb="FF0EA288"/>
      </bottom>
      <diagonal/>
    </border>
    <border>
      <left style="hair">
        <color rgb="FF0EA288"/>
      </left>
      <right style="thin">
        <color rgb="FF0EA288"/>
      </right>
      <top/>
      <bottom style="hair">
        <color rgb="FF0EA288"/>
      </bottom>
      <diagonal/>
    </border>
    <border>
      <left style="hair">
        <color rgb="FF0EA288"/>
      </left>
      <right/>
      <top/>
      <bottom style="hair">
        <color rgb="FF0EA288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/>
      <top style="hair">
        <color rgb="FF00B050"/>
      </top>
      <bottom style="hair">
        <color rgb="FF00B050"/>
      </bottom>
      <diagonal/>
    </border>
    <border>
      <left/>
      <right/>
      <top style="hair">
        <color rgb="FF00B050"/>
      </top>
      <bottom style="hair">
        <color rgb="FF00B050"/>
      </bottom>
      <diagonal/>
    </border>
    <border>
      <left style="hair">
        <color rgb="FF319B62"/>
      </left>
      <right style="hair">
        <color rgb="FF319B62"/>
      </right>
      <top style="hair">
        <color rgb="FF319B62"/>
      </top>
      <bottom style="hair">
        <color rgb="FF319B62"/>
      </bottom>
      <diagonal/>
    </border>
    <border>
      <left/>
      <right style="hair">
        <color rgb="FF0EA288"/>
      </right>
      <top style="hair">
        <color rgb="FF0EA288"/>
      </top>
      <bottom style="hair">
        <color rgb="FF0EA288"/>
      </bottom>
      <diagonal/>
    </border>
    <border>
      <left style="hair">
        <color rgb="FF319B62"/>
      </left>
      <right/>
      <top style="hair">
        <color rgb="FF319B62"/>
      </top>
      <bottom style="hair">
        <color rgb="FF319B62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 style="hair">
        <color rgb="FF00B050"/>
      </right>
      <top/>
      <bottom/>
      <diagonal/>
    </border>
    <border>
      <left style="hair">
        <color rgb="FF00B050"/>
      </left>
      <right/>
      <top style="hair">
        <color rgb="FF00B050"/>
      </top>
      <bottom/>
      <diagonal/>
    </border>
    <border>
      <left/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/>
      <top/>
      <bottom/>
      <diagonal/>
    </border>
    <border>
      <left/>
      <right style="hair">
        <color rgb="FF00B050"/>
      </right>
      <top/>
      <bottom/>
      <diagonal/>
    </border>
    <border>
      <left/>
      <right style="hair">
        <color rgb="FF00B050"/>
      </right>
      <top/>
      <bottom style="hair">
        <color rgb="FF00B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FFFFFF"/>
      </top>
      <bottom/>
      <diagonal/>
    </border>
    <border>
      <left/>
      <right style="hair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hair">
        <color rgb="FFFFFFFF"/>
      </right>
      <top/>
      <bottom/>
      <diagonal/>
    </border>
    <border>
      <left style="hair">
        <color rgb="FF00B050"/>
      </left>
      <right style="hair">
        <color rgb="FF0EA288"/>
      </right>
      <top style="hair">
        <color rgb="FF00B050"/>
      </top>
      <bottom style="hair">
        <color rgb="FF00B050"/>
      </bottom>
      <diagonal/>
    </border>
    <border>
      <left/>
      <right/>
      <top style="hair">
        <color rgb="FF00B050"/>
      </top>
      <bottom/>
      <diagonal/>
    </border>
    <border>
      <left/>
      <right style="hair">
        <color rgb="FF0EA288"/>
      </right>
      <top style="hair">
        <color rgb="FF00B050"/>
      </top>
      <bottom/>
      <diagonal/>
    </border>
    <border>
      <left/>
      <right style="hair">
        <color rgb="FF0EA288"/>
      </right>
      <top style="hair">
        <color rgb="FF00B050"/>
      </top>
      <bottom style="hair">
        <color rgb="FF00B050"/>
      </bottom>
      <diagonal/>
    </border>
    <border>
      <left/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/>
      <bottom style="hair">
        <color rgb="FF00B05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7" borderId="33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4" applyAlignment="1">
      <alignment vertical="center"/>
    </xf>
    <xf numFmtId="0" fontId="26" fillId="0" borderId="34" applyAlignment="1">
      <alignment vertical="center"/>
    </xf>
    <xf numFmtId="0" fontId="27" fillId="0" borderId="35" applyAlignment="1">
      <alignment vertical="center"/>
    </xf>
    <xf numFmtId="0" fontId="27" fillId="0" borderId="0" applyAlignment="1">
      <alignment vertical="center"/>
    </xf>
    <xf numFmtId="0" fontId="28" fillId="8" borderId="36" applyAlignment="1">
      <alignment vertical="center"/>
    </xf>
    <xf numFmtId="0" fontId="29" fillId="9" borderId="37" applyAlignment="1">
      <alignment vertical="center"/>
    </xf>
    <xf numFmtId="0" fontId="30" fillId="9" borderId="36" applyAlignment="1">
      <alignment vertical="center"/>
    </xf>
    <xf numFmtId="0" fontId="31" fillId="10" borderId="38" applyAlignment="1">
      <alignment vertical="center"/>
    </xf>
    <xf numFmtId="0" fontId="32" fillId="0" borderId="39" applyAlignment="1">
      <alignment vertical="center"/>
    </xf>
    <xf numFmtId="0" fontId="33" fillId="0" borderId="4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7" fillId="17" borderId="0" applyAlignment="1">
      <alignment vertical="center"/>
    </xf>
    <xf numFmtId="0" fontId="37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7" fillId="37" borderId="0" applyAlignment="1">
      <alignment vertical="center"/>
    </xf>
  </cellStyleXfs>
  <cellXfs count="1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5" applyAlignment="1" pivotButton="0" quotePrefix="0" xfId="0">
      <alignment vertical="center" wrapText="1"/>
    </xf>
    <xf numFmtId="0" fontId="6" fillId="3" borderId="5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9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vertical="center"/>
    </xf>
    <xf numFmtId="0" fontId="12" fillId="4" borderId="0" applyAlignment="1" pivotButton="0" quotePrefix="0" xfId="0">
      <alignment horizontal="left" vertical="center"/>
    </xf>
    <xf numFmtId="9" fontId="12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2" fillId="4" borderId="0" applyAlignment="1" pivotButton="0" quotePrefix="0" xfId="0">
      <alignment horizontal="right" vertical="top"/>
    </xf>
    <xf numFmtId="165" fontId="12" fillId="4" borderId="0" applyAlignment="1" pivotButton="0" quotePrefix="0" xfId="0">
      <alignment horizontal="left" vertical="top"/>
    </xf>
    <xf numFmtId="0" fontId="12" fillId="4" borderId="0" applyAlignment="1" pivotButton="0" quotePrefix="0" xfId="0">
      <alignment vertical="top"/>
    </xf>
    <xf numFmtId="0" fontId="13" fillId="5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13" fillId="5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0" fontId="14" fillId="5" borderId="8" applyAlignment="1" pivotButton="0" quotePrefix="0" xfId="0">
      <alignment horizontal="center" vertical="center" wrapText="1"/>
    </xf>
    <xf numFmtId="0" fontId="13" fillId="5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166" fontId="13" fillId="5" borderId="9" applyAlignment="1" pivotButton="0" quotePrefix="0" xfId="0">
      <alignment horizontal="center" vertical="center" wrapText="1"/>
    </xf>
    <xf numFmtId="0" fontId="13" fillId="5" borderId="11" applyAlignment="1" pivotButton="0" quotePrefix="0" xfId="0">
      <alignment horizontal="center" vertical="center" wrapText="1"/>
    </xf>
    <xf numFmtId="0" fontId="13" fillId="5" borderId="12" applyAlignment="1" pivotButton="0" quotePrefix="0" xfId="0">
      <alignment horizontal="center" vertical="center" wrapText="1"/>
    </xf>
    <xf numFmtId="0" fontId="12" fillId="5" borderId="13" applyAlignment="1" pivotButton="0" quotePrefix="0" xfId="0">
      <alignment horizontal="center" vertical="center" wrapText="1"/>
    </xf>
    <xf numFmtId="0" fontId="13" fillId="5" borderId="13" applyAlignment="1" pivotButton="0" quotePrefix="0" xfId="0">
      <alignment horizontal="center" vertical="center" wrapText="1"/>
    </xf>
    <xf numFmtId="0" fontId="13" fillId="5" borderId="14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166" fontId="13" fillId="5" borderId="12" applyAlignment="1" pivotButton="0" quotePrefix="0" xfId="0">
      <alignment horizontal="center" vertical="center" wrapText="1"/>
    </xf>
    <xf numFmtId="167" fontId="12" fillId="5" borderId="12" applyAlignment="1" pivotButton="0" quotePrefix="0" xfId="0">
      <alignment horizontal="center" vertical="center" wrapText="1"/>
    </xf>
    <xf numFmtId="167" fontId="12" fillId="5" borderId="9" applyAlignment="1" pivotButton="0" quotePrefix="0" xfId="0">
      <alignment horizontal="center" vertical="center" wrapText="1"/>
    </xf>
    <xf numFmtId="167" fontId="13" fillId="5" borderId="14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/>
    </xf>
    <xf numFmtId="0" fontId="15" fillId="6" borderId="17" applyAlignment="1" pivotButton="0" quotePrefix="0" xfId="0">
      <alignment horizontal="center" vertical="center" wrapText="1"/>
    </xf>
    <xf numFmtId="0" fontId="10" fillId="6" borderId="18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16" fillId="0" borderId="20" applyAlignment="1" pivotButton="0" quotePrefix="0" xfId="0">
      <alignment vertical="center" wrapText="1"/>
    </xf>
    <xf numFmtId="0" fontId="12" fillId="0" borderId="20" applyAlignment="1" pivotButton="0" quotePrefix="0" xfId="0">
      <alignment vertical="center"/>
    </xf>
    <xf numFmtId="0" fontId="12" fillId="4" borderId="21" applyAlignment="1" pivotButton="0" quotePrefix="0" xfId="0">
      <alignment horizontal="left" vertical="center" wrapText="1"/>
    </xf>
    <xf numFmtId="0" fontId="0" fillId="0" borderId="22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2" fillId="4" borderId="16" applyAlignment="1" pivotButton="0" quotePrefix="0" xfId="0">
      <alignment horizontal="center" vertical="center"/>
    </xf>
    <xf numFmtId="164" fontId="10" fillId="4" borderId="19" applyAlignment="1" pivotButton="0" quotePrefix="0" xfId="0">
      <alignment horizontal="center" vertical="center" wrapText="1"/>
    </xf>
    <xf numFmtId="168" fontId="10" fillId="4" borderId="23" applyAlignment="1" pivotButton="0" quotePrefix="0" xfId="0">
      <alignment horizontal="center" vertical="center" wrapText="1"/>
    </xf>
    <xf numFmtId="9" fontId="10" fillId="4" borderId="24" applyAlignment="1" pivotButton="0" quotePrefix="0" xfId="0">
      <alignment horizontal="center" vertical="center" wrapText="1"/>
    </xf>
    <xf numFmtId="0" fontId="12" fillId="4" borderId="17" applyAlignment="1" pivotButton="0" quotePrefix="0" xfId="0">
      <alignment vertical="center" wrapText="1"/>
    </xf>
    <xf numFmtId="168" fontId="10" fillId="4" borderId="25" applyAlignment="1" pivotButton="0" quotePrefix="0" xfId="0">
      <alignment horizontal="center" vertical="center" wrapText="1"/>
    </xf>
    <xf numFmtId="0" fontId="16" fillId="4" borderId="20" applyAlignment="1" pivotButton="0" quotePrefix="0" xfId="0">
      <alignment vertical="center" wrapText="1"/>
    </xf>
    <xf numFmtId="0" fontId="10" fillId="4" borderId="20" applyAlignment="1" pivotButton="0" quotePrefix="0" xfId="0">
      <alignment horizontal="center" vertical="center" wrapText="1"/>
    </xf>
    <xf numFmtId="0" fontId="12" fillId="4" borderId="20" applyAlignment="1" pivotButton="0" quotePrefix="0" xfId="0">
      <alignment vertical="center" wrapText="1"/>
    </xf>
    <xf numFmtId="0" fontId="17" fillId="0" borderId="20" applyAlignment="1" pivotButton="0" quotePrefix="0" xfId="0">
      <alignment vertical="center"/>
    </xf>
    <xf numFmtId="0" fontId="12" fillId="0" borderId="26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16" fillId="0" borderId="20" applyAlignment="1" pivotButton="0" quotePrefix="0" xfId="0">
      <alignment vertical="center" wrapText="1"/>
    </xf>
    <xf numFmtId="0" fontId="0" fillId="0" borderId="27" applyAlignment="1" pivotButton="0" quotePrefix="0" xfId="0">
      <alignment vertical="center"/>
    </xf>
    <xf numFmtId="0" fontId="12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12" fillId="0" borderId="21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12" fillId="0" borderId="26" applyAlignment="1" pivotButton="0" quotePrefix="0" xfId="0">
      <alignment vertical="center" wrapText="1"/>
    </xf>
    <xf numFmtId="164" fontId="18" fillId="4" borderId="19" applyAlignment="1" pivotButton="0" quotePrefix="0" xfId="0">
      <alignment horizontal="center" vertical="center" wrapText="1"/>
    </xf>
    <xf numFmtId="168" fontId="18" fillId="4" borderId="25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164" fontId="12" fillId="4" borderId="0" applyAlignment="1" pivotButton="0" quotePrefix="0" xfId="0">
      <alignment horizontal="center" vertical="center" wrapText="1"/>
    </xf>
    <xf numFmtId="168" fontId="12" fillId="4" borderId="0" applyAlignment="1" pivotButton="0" quotePrefix="0" xfId="0">
      <alignment horizontal="center" vertical="center" wrapText="1"/>
    </xf>
    <xf numFmtId="9" fontId="12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 wrapText="1"/>
    </xf>
    <xf numFmtId="0" fontId="0" fillId="0" borderId="0" pivotButton="0" quotePrefix="0" xfId="0"/>
    <xf numFmtId="165" fontId="12" fillId="4" borderId="0" applyAlignment="1" pivotButton="0" quotePrefix="0" xfId="0">
      <alignment horizontal="left" vertical="top"/>
    </xf>
    <xf numFmtId="0" fontId="0" fillId="0" borderId="43" pivotButton="0" quotePrefix="0" xfId="0"/>
    <xf numFmtId="0" fontId="0" fillId="0" borderId="7" pivotButton="0" quotePrefix="0" xfId="0"/>
    <xf numFmtId="0" fontId="0" fillId="0" borderId="10" pivotButton="0" quotePrefix="0" xfId="0"/>
    <xf numFmtId="166" fontId="13" fillId="5" borderId="9" applyAlignment="1" pivotButton="0" quotePrefix="0" xfId="0">
      <alignment horizontal="center" vertical="center" wrapText="1"/>
    </xf>
    <xf numFmtId="0" fontId="0" fillId="0" borderId="11" pivotButton="0" quotePrefix="0" xfId="0"/>
    <xf numFmtId="166" fontId="13" fillId="5" borderId="12" applyAlignment="1" pivotButton="0" quotePrefix="0" xfId="0">
      <alignment horizontal="center" vertical="center" wrapText="1"/>
    </xf>
    <xf numFmtId="167" fontId="12" fillId="5" borderId="12" applyAlignment="1" pivotButton="0" quotePrefix="0" xfId="0">
      <alignment horizontal="center" vertical="center" wrapText="1"/>
    </xf>
    <xf numFmtId="167" fontId="12" fillId="5" borderId="9" applyAlignment="1" pivotButton="0" quotePrefix="0" xfId="0">
      <alignment horizontal="center" vertical="center" wrapText="1"/>
    </xf>
    <xf numFmtId="167" fontId="13" fillId="5" borderId="14" applyAlignment="1" pivotButton="0" quotePrefix="0" xfId="0">
      <alignment horizontal="center" vertical="center" wrapText="1"/>
    </xf>
    <xf numFmtId="0" fontId="12" fillId="4" borderId="45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48" pivotButton="0" quotePrefix="0" xfId="0"/>
    <xf numFmtId="164" fontId="10" fillId="4" borderId="19" applyAlignment="1" pivotButton="0" quotePrefix="0" xfId="0">
      <alignment horizontal="center" vertical="center" wrapText="1"/>
    </xf>
    <xf numFmtId="168" fontId="10" fillId="4" borderId="23" applyAlignment="1" pivotButton="0" quotePrefix="0" xfId="0">
      <alignment horizontal="center" vertical="center" wrapText="1"/>
    </xf>
    <xf numFmtId="168" fontId="10" fillId="4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12" fillId="0" borderId="45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9" pivotButton="0" quotePrefix="0" xfId="0"/>
    <xf numFmtId="0" fontId="12" fillId="0" borderId="45" applyAlignment="1" pivotButton="0" quotePrefix="0" xfId="0">
      <alignment vertical="center" wrapText="1"/>
    </xf>
    <xf numFmtId="0" fontId="0" fillId="0" borderId="50" pivotButton="0" quotePrefix="0" xfId="0"/>
    <xf numFmtId="164" fontId="18" fillId="4" borderId="19" applyAlignment="1" pivotButton="0" quotePrefix="0" xfId="0">
      <alignment horizontal="center" vertical="center" wrapText="1"/>
    </xf>
    <xf numFmtId="168" fontId="18" fillId="4" borderId="25" applyAlignment="1" pivotButton="0" quotePrefix="0" xfId="0">
      <alignment horizontal="center" vertical="center" wrapText="1"/>
    </xf>
    <xf numFmtId="164" fontId="12" fillId="4" borderId="0" applyAlignment="1" pivotButton="0" quotePrefix="0" xfId="0">
      <alignment horizontal="center" vertical="center" wrapText="1"/>
    </xf>
    <xf numFmtId="168" fontId="12" fillId="4" borderId="0" applyAlignment="1" pivotButton="0" quotePrefix="0" xfId="0">
      <alignment horizontal="center" vertical="center" wrapText="1"/>
    </xf>
    <xf numFmtId="0" fontId="40" fillId="3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H4" authorId="0" shapeId="0">
      <text>
        <t>蓝色字段：由用户提供或确认链路任务。</t>
      </text>
    </comment>
    <comment ref="N4" authorId="0" shapeId="0">
      <text>
        <t>红色字段：测试执行后更新计划/实际信息。</t>
      </text>
    </comment>
    <comment ref="V4" authorId="0" shapeId="0">
      <text>
        <t>蓝色字段：由用户提供自上而下的测试用例编号列表。</t>
      </text>
    </comment>
    <comment ref="W4" authorId="0" shapeId="0">
      <text>
        <t>红色字段：测试执行后更新结果。</t>
      </text>
    </comment>
  </commentList>
</comment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测试任务跟踪">
    <outlinePr summaryBelow="1" summaryRight="1"/>
    <pageSetUpPr/>
  </sheetPr>
  <dimension ref="A1:X79"/>
  <sheetViews>
    <sheetView tabSelected="1" topLeftCell="B1" workbookViewId="0">
      <pane ySplit="4" topLeftCell="A5" activePane="bottomLeft" state="frozen"/>
      <selection activeCell="A1" sqref="A1"/>
      <selection pane="bottomLeft" activeCell="O18" sqref="O18"/>
    </sheetView>
  </sheetViews>
  <sheetFormatPr baseColWidth="8" defaultColWidth="14" defaultRowHeight="18" customHeight="1"/>
  <cols>
    <col width="6.61666666666667" customWidth="1" style="99" min="1" max="3"/>
    <col width="7.68333333333333" customWidth="1" style="99" min="4" max="5"/>
    <col width="6.61666666666667" customWidth="1" style="99" min="6" max="7"/>
    <col width="8.758333333333329" customWidth="1" style="99" min="8" max="8"/>
    <col width="17.5333333333333" customWidth="1" style="99" min="9" max="9"/>
    <col width="13.0833333333333" customWidth="1" style="99" min="10" max="10"/>
    <col width="23.3333333333333" customWidth="1" style="99" min="11" max="11"/>
    <col width="14.025" customWidth="1" style="99" min="12" max="12"/>
    <col width="9.574999999999999" customWidth="1" style="99" min="13" max="13"/>
    <col width="12.4166666666667" customWidth="1" style="99" min="14" max="14"/>
    <col width="11.6" customWidth="1" style="99" min="15" max="15"/>
    <col width="6.61666666666667" customWidth="1" style="99" min="16" max="17"/>
    <col width="32.9166666666667" customWidth="1" style="99" min="18" max="18"/>
    <col width="9.84166666666667" customWidth="1" style="99" min="19" max="20"/>
    <col width="7.825" customWidth="1" style="99" min="21" max="21"/>
    <col width="10.1166666666667" customWidth="1" style="99" min="22" max="22"/>
    <col width="6.61666666666667" customWidth="1" style="99" min="23" max="31"/>
  </cols>
  <sheetData>
    <row r="1" ht="23.25" customHeight="1" s="99">
      <c r="A1" s="26" t="inlineStr">
        <is>
          <t>任务实时跟踪</t>
        </is>
      </c>
      <c r="B1" s="27" t="n"/>
      <c r="C1" s="28" t="n"/>
      <c r="D1" s="29" t="n"/>
      <c r="E1" s="29" t="n"/>
      <c r="F1" s="30" t="n"/>
      <c r="G1" s="30" t="n"/>
      <c r="H1" s="30" t="n"/>
      <c r="I1" s="30" t="n"/>
      <c r="J1" s="31" t="n"/>
      <c r="K1" s="31" t="n"/>
      <c r="L1" s="31" t="n"/>
      <c r="M1" s="31">
        <f>COUNTA($I$5:$I$65494)</f>
        <v/>
      </c>
      <c r="N1" s="31">
        <f>COUNTIF($C$5:$C$65494,"√")</f>
        <v/>
      </c>
      <c r="O1" s="30" t="n"/>
      <c r="P1" s="30" t="n"/>
      <c r="Q1" s="31">
        <f>COUNTIF($C$5:$C$65512,"进行中")</f>
        <v/>
      </c>
      <c r="R1" s="31">
        <f>COUNTIF($C$5:$C$65512,"超期")</f>
        <v/>
      </c>
      <c r="S1" s="30" t="n"/>
      <c r="T1" s="32">
        <f>N1/M1</f>
        <v/>
      </c>
      <c r="U1" s="30" t="n"/>
      <c r="V1" s="33" t="n"/>
      <c r="W1" s="33" t="n"/>
      <c r="X1" s="33" t="n"/>
    </row>
    <row r="2" ht="13.5" customHeight="1" s="99">
      <c r="A2" s="34" t="inlineStr">
        <is>
          <t>今天是</t>
        </is>
      </c>
      <c r="B2" s="100">
        <f>TODAY()</f>
        <v/>
      </c>
      <c r="F2" s="36" t="n"/>
      <c r="G2" s="36" t="n"/>
      <c r="H2" s="36" t="n"/>
      <c r="I2" s="36" t="n"/>
      <c r="J2" s="36" t="n"/>
      <c r="K2" s="36" t="n"/>
      <c r="L2" s="36" t="n"/>
      <c r="M2" s="36" t="inlineStr">
        <is>
          <t>总数统计</t>
        </is>
      </c>
      <c r="N2" s="36" t="inlineStr">
        <is>
          <t>已完成数</t>
        </is>
      </c>
      <c r="O2" s="36" t="n"/>
      <c r="P2" s="36" t="n"/>
      <c r="Q2" s="36" t="inlineStr">
        <is>
          <t>进行中数</t>
        </is>
      </c>
      <c r="R2" s="36" t="inlineStr">
        <is>
          <t>已超期数</t>
        </is>
      </c>
      <c r="S2" s="36" t="n"/>
      <c r="T2" s="36" t="inlineStr">
        <is>
          <t>完成率</t>
        </is>
      </c>
      <c r="U2" s="36" t="n"/>
      <c r="V2" s="33" t="n"/>
      <c r="W2" s="33" t="n"/>
      <c r="X2" s="33" t="n"/>
    </row>
    <row r="3" ht="33" customHeight="1" s="99">
      <c r="A3" s="37" t="inlineStr">
        <is>
          <t>自动跟踪</t>
        </is>
      </c>
      <c r="B3" s="101" t="n"/>
      <c r="C3" s="101" t="n"/>
      <c r="D3" s="101" t="n"/>
      <c r="E3" s="101" t="n"/>
      <c r="F3" s="102" t="n"/>
      <c r="G3" s="39" t="inlineStr">
        <is>
          <t>任务描述</t>
        </is>
      </c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42" t="inlineStr">
        <is>
          <t>完成情况描述</t>
        </is>
      </c>
      <c r="R3" s="103" t="n"/>
      <c r="S3" s="103" t="n"/>
      <c r="T3" s="103" t="n"/>
      <c r="U3" s="103" t="n"/>
      <c r="V3" s="103" t="n"/>
      <c r="W3" s="103" t="n"/>
      <c r="X3" s="104" t="inlineStr">
        <is>
          <t>其他</t>
        </is>
      </c>
    </row>
    <row r="4" ht="33" customHeight="1" s="99">
      <c r="A4" s="45" t="inlineStr">
        <is>
          <t>序号</t>
        </is>
      </c>
      <c r="B4" s="46" t="inlineStr">
        <is>
          <t>当前
状态</t>
        </is>
      </c>
      <c r="C4" s="46" t="inlineStr">
        <is>
          <t>今日
到期</t>
        </is>
      </c>
      <c r="D4" s="46" t="inlineStr">
        <is>
          <t>本周内
到期</t>
        </is>
      </c>
      <c r="E4" s="46" t="inlineStr">
        <is>
          <t>本月内
到期</t>
        </is>
      </c>
      <c r="F4" s="47" t="inlineStr">
        <is>
          <t>超期
天数</t>
        </is>
      </c>
      <c r="G4" s="46" t="inlineStr">
        <is>
          <t>优先级</t>
        </is>
      </c>
      <c r="H4" s="48" t="inlineStr">
        <is>
          <t>链路任务</t>
        </is>
      </c>
      <c r="I4" s="48" t="inlineStr">
        <is>
          <t>测试项</t>
        </is>
      </c>
      <c r="J4" s="46" t="inlineStr">
        <is>
          <t>测试功能点</t>
        </is>
      </c>
      <c r="K4" s="103" t="n"/>
      <c r="L4" s="105" t="n"/>
      <c r="M4" s="46" t="inlineStr">
        <is>
          <t>责任人</t>
        </is>
      </c>
      <c r="N4" s="106" t="inlineStr">
        <is>
          <t>计划
开始日期</t>
        </is>
      </c>
      <c r="O4" s="106" t="inlineStr">
        <is>
          <t>计划
完成日期</t>
        </is>
      </c>
      <c r="P4" s="107" t="inlineStr">
        <is>
          <t>工作量评估
（人天）</t>
        </is>
      </c>
      <c r="Q4" s="46" t="inlineStr">
        <is>
          <t>已完成度</t>
        </is>
      </c>
      <c r="R4" s="46" t="inlineStr">
        <is>
          <t>当前进度描述</t>
        </is>
      </c>
      <c r="S4" s="104" t="inlineStr">
        <is>
          <t>实际
开始时间</t>
        </is>
      </c>
      <c r="T4" s="104" t="inlineStr">
        <is>
          <t>实际
完成时间</t>
        </is>
      </c>
      <c r="U4" s="108" t="inlineStr">
        <is>
          <t>实际工作量
（人天）</t>
        </is>
      </c>
      <c r="V4" s="109" t="inlineStr">
        <is>
          <t>测试用例编号</t>
        </is>
      </c>
      <c r="W4" s="109" t="inlineStr">
        <is>
          <t>测试结果</t>
        </is>
      </c>
      <c r="X4" s="109" t="inlineStr">
        <is>
          <t>备注</t>
        </is>
      </c>
    </row>
    <row r="5" ht="37.5" customHeight="1" s="99">
      <c r="A5" s="55" t="n"/>
      <c r="B5" s="56" t="n"/>
      <c r="C5" s="57">
        <f>IF($O5="","",IF($R5&lt;&gt;"","",IF($O5=TODAY(),"●","")))</f>
        <v/>
      </c>
      <c r="D5" s="57">
        <f>IF($P5="","",IF($U5&lt;&gt;"","",IF(AND($P5&gt;=TODAY()-WEEKDAY(TODAY(),3),$P5&lt;=TODAY()-WEEKDAY(TODAY(),3)+6),"●","")))</f>
        <v/>
      </c>
      <c r="E5" s="57">
        <f>IF($P5="","",IF($U5&lt;&gt;"","",IF(AND($P5&gt;=DATE(YEAR(TODAY()),MONTH(TODAY()),1),$P5&lt;=EOMONTH(TODAY(),0)),"●","")))</f>
        <v/>
      </c>
      <c r="F5" s="58" t="n"/>
      <c r="G5" s="59" t="inlineStr">
        <is>
          <t>高</t>
        </is>
      </c>
      <c r="H5" s="77" t="inlineStr">
        <is>
          <t>&lt;用户提供链路任务&gt;</t>
        </is>
      </c>
      <c r="I5" s="61" t="inlineStr">
        <is>
          <t>结构迁移</t>
        </is>
      </c>
      <c r="J5" s="110" t="inlineStr">
        <is>
          <t>表、序列、索引、外键、用户、视图、同义词</t>
        </is>
      </c>
      <c r="K5" s="111" t="n"/>
      <c r="L5" s="112" t="n"/>
      <c r="M5" s="65" t="n"/>
      <c r="N5" s="113" t="n"/>
      <c r="O5" s="113" t="n"/>
      <c r="P5" s="114">
        <f>NETWORKDAYS(N5,O5)</f>
        <v/>
      </c>
      <c r="Q5" s="68" t="n"/>
      <c r="R5" s="69" t="n"/>
      <c r="S5" s="113" t="n"/>
      <c r="T5" s="113" t="n"/>
      <c r="U5" s="115">
        <f>IF(T5&lt;&gt;"",NETWORKDAYS(S5,T5),"")</f>
        <v/>
      </c>
      <c r="V5" s="71" t="inlineStr">
        <is>
          <t>&lt;用户提供用例编号&gt;</t>
        </is>
      </c>
      <c r="W5" s="72" t="n"/>
      <c r="X5" s="73" t="n"/>
    </row>
    <row r="6" ht="21.75" customHeight="1" s="99">
      <c r="A6" s="55" t="n"/>
      <c r="B6" s="56" t="n"/>
      <c r="C6" s="57">
        <f>IF($O6="","",IF($R6&lt;&gt;"","",IF($O6=TODAY(),"●","")))</f>
        <v/>
      </c>
      <c r="D6" s="57">
        <f>IF($P6="","",IF($U6&lt;&gt;"","",IF(AND($P6&gt;=TODAY()-WEEKDAY(TODAY(),3),$P6&lt;=TODAY()-WEEKDAY(TODAY(),3)+6),"●","")))</f>
        <v/>
      </c>
      <c r="E6" s="57">
        <f>IF($P6="","",IF($U6&lt;&gt;"","",IF(AND($P6&gt;=DATE(YEAR(TODAY()),MONTH(TODAY()),1),$P6&lt;=EOMONTH(TODAY(),0)),"●","")))</f>
        <v/>
      </c>
      <c r="F6" s="58" t="n"/>
      <c r="G6" s="59" t="inlineStr">
        <is>
          <t>高</t>
        </is>
      </c>
      <c r="H6" s="116" t="n"/>
      <c r="I6" s="75" t="inlineStr">
        <is>
          <t>全量数据同步</t>
        </is>
      </c>
      <c r="J6" s="117" t="inlineStr">
        <is>
          <t>非过滤条件</t>
        </is>
      </c>
      <c r="K6" s="111" t="n"/>
      <c r="L6" s="112" t="n"/>
      <c r="M6" s="65" t="n"/>
      <c r="N6" s="113" t="n"/>
      <c r="O6" s="113" t="n"/>
      <c r="P6" s="114">
        <f>NETWORKDAYS(N6,O6)</f>
        <v/>
      </c>
      <c r="Q6" s="68" t="n"/>
      <c r="R6" s="69" t="n"/>
      <c r="S6" s="113" t="n"/>
      <c r="T6" s="113" t="n"/>
      <c r="U6" s="115">
        <f>IF(T6&lt;&gt;"",NETWORKDAYS(S6,T6),"")</f>
        <v/>
      </c>
      <c r="V6" s="71" t="inlineStr">
        <is>
          <t>&lt;用户提供用例编号&gt;</t>
        </is>
      </c>
      <c r="W6" s="72" t="n"/>
      <c r="X6" s="73" t="n"/>
    </row>
    <row r="7" ht="21.75" customHeight="1" s="99">
      <c r="A7" s="55" t="n"/>
      <c r="B7" s="56" t="n"/>
      <c r="C7" s="57">
        <f>IF($O7="","",IF($R7&lt;&gt;"","",IF($O7=TODAY(),"●","")))</f>
        <v/>
      </c>
      <c r="D7" s="57">
        <f>IF($P7="","",IF($U7&lt;&gt;"","",IF(AND($P7&gt;=TODAY()-WEEKDAY(TODAY(),3),$P7&lt;=TODAY()-WEEKDAY(TODAY(),3)+6),"●","")))</f>
        <v/>
      </c>
      <c r="E7" s="57">
        <f>IF($P7="","",IF($U7&lt;&gt;"","",IF(AND($P7&gt;=DATE(YEAR(TODAY()),MONTH(TODAY()),1),$P7&lt;=EOMONTH(TODAY(),0)),"●","")))</f>
        <v/>
      </c>
      <c r="F7" s="58" t="n"/>
      <c r="G7" s="59" t="inlineStr">
        <is>
          <t>高</t>
        </is>
      </c>
      <c r="H7" s="116" t="n"/>
      <c r="I7" s="116" t="n"/>
      <c r="J7" s="75" t="inlineStr">
        <is>
          <t>过滤条件</t>
        </is>
      </c>
      <c r="K7" s="118" t="n"/>
      <c r="L7" s="65" t="inlineStr">
        <is>
          <t>行过滤</t>
        </is>
      </c>
      <c r="M7" s="65" t="n"/>
      <c r="N7" s="113" t="n"/>
      <c r="O7" s="113" t="n"/>
      <c r="P7" s="114">
        <f>NETWORKDAYS(N7,O7)</f>
        <v/>
      </c>
      <c r="Q7" s="68" t="n"/>
      <c r="R7" s="69" t="n"/>
      <c r="S7" s="113" t="n"/>
      <c r="T7" s="113" t="n"/>
      <c r="U7" s="115">
        <f>IF(T7&lt;&gt;"",NETWORKDAYS(S7,T7),"")</f>
        <v/>
      </c>
      <c r="V7" s="71" t="inlineStr">
        <is>
          <t>&lt;用户提供用例编号&gt;</t>
        </is>
      </c>
      <c r="W7" s="72" t="n"/>
      <c r="X7" s="73" t="n"/>
    </row>
    <row r="8" ht="21.75" customHeight="1" s="99">
      <c r="A8" s="55" t="n"/>
      <c r="B8" s="56" t="n"/>
      <c r="C8" s="57">
        <f>IF($O8="","",IF($R8&lt;&gt;"","",IF($O8=TODAY(),"●","")))</f>
        <v/>
      </c>
      <c r="D8" s="57">
        <f>IF($P8="","",IF($U8&lt;&gt;"","",IF(AND($P8&gt;=TODAY()-WEEKDAY(TODAY(),3),$P8&lt;=TODAY()-WEEKDAY(TODAY(),3)+6),"●","")))</f>
        <v/>
      </c>
      <c r="E8" s="57">
        <f>IF($P8="","",IF($U8&lt;&gt;"","",IF(AND($P8&gt;=DATE(YEAR(TODAY()),MONTH(TODAY()),1),$P8&lt;=EOMONTH(TODAY(),0)),"●","")))</f>
        <v/>
      </c>
      <c r="F8" s="58" t="n"/>
      <c r="G8" s="59" t="inlineStr">
        <is>
          <t>高</t>
        </is>
      </c>
      <c r="H8" s="116" t="n"/>
      <c r="I8" s="116" t="n"/>
      <c r="J8" s="119" t="n"/>
      <c r="K8" s="120" t="n"/>
      <c r="L8" s="65" t="inlineStr">
        <is>
          <t>列过滤</t>
        </is>
      </c>
      <c r="M8" s="65" t="n"/>
      <c r="N8" s="113" t="n"/>
      <c r="O8" s="113" t="n"/>
      <c r="P8" s="114">
        <f>NETWORKDAYS(N8,O8)</f>
        <v/>
      </c>
      <c r="Q8" s="68" t="n"/>
      <c r="R8" s="69" t="n"/>
      <c r="S8" s="113" t="n"/>
      <c r="T8" s="113" t="n"/>
      <c r="U8" s="115">
        <f>IF(T8&lt;&gt;"",NETWORKDAYS(S8,T8),"")</f>
        <v/>
      </c>
      <c r="V8" s="71" t="inlineStr">
        <is>
          <t>&lt;用户提供用例编号&gt;</t>
        </is>
      </c>
      <c r="W8" s="72" t="n"/>
      <c r="X8" s="73" t="n"/>
    </row>
    <row r="9" ht="21.75" customHeight="1" s="99">
      <c r="A9" s="55" t="n"/>
      <c r="B9" s="56" t="n"/>
      <c r="C9" s="57">
        <f>IF($O9="","",IF($R9&lt;&gt;"","",IF($O9=TODAY(),"●","")))</f>
        <v/>
      </c>
      <c r="D9" s="57">
        <f>IF($P9="","",IF($U9&lt;&gt;"","",IF(AND($P9&gt;=TODAY()-WEEKDAY(TODAY(),3),$P9&lt;=TODAY()-WEEKDAY(TODAY(),3)+6),"●","")))</f>
        <v/>
      </c>
      <c r="E9" s="57">
        <f>IF($P9="","",IF($U9&lt;&gt;"","",IF(AND($P9&gt;=DATE(YEAR(TODAY()),MONTH(TODAY()),1),$P9&lt;=EOMONTH(TODAY(),0)),"●","")))</f>
        <v/>
      </c>
      <c r="F9" s="58" t="n"/>
      <c r="G9" s="59" t="inlineStr">
        <is>
          <t>高</t>
        </is>
      </c>
      <c r="H9" s="116" t="n"/>
      <c r="I9" s="75" t="inlineStr">
        <is>
          <t>增量同步</t>
        </is>
      </c>
      <c r="J9" s="61" t="inlineStr">
        <is>
          <t>预检查功能</t>
        </is>
      </c>
      <c r="K9" s="121" t="n"/>
      <c r="L9" s="61" t="inlineStr">
        <is>
          <t>字段值截取过滤</t>
        </is>
      </c>
      <c r="M9" s="65" t="n"/>
      <c r="N9" s="113" t="n"/>
      <c r="O9" s="113" t="n"/>
      <c r="P9" s="114">
        <f>NETWORKDAYS(N9,O9)</f>
        <v/>
      </c>
      <c r="Q9" s="68" t="n"/>
      <c r="R9" s="69" t="n"/>
      <c r="S9" s="113" t="n"/>
      <c r="T9" s="113" t="n"/>
      <c r="U9" s="115">
        <f>IF(T9&lt;&gt;"",NETWORKDAYS(S9,T9),"")</f>
        <v/>
      </c>
      <c r="V9" s="71" t="inlineStr">
        <is>
          <t>&lt;用户提供用例编号&gt;</t>
        </is>
      </c>
      <c r="W9" s="72" t="n"/>
      <c r="X9" s="73" t="n"/>
    </row>
    <row r="10" ht="30" customHeight="1" s="99">
      <c r="A10" s="55" t="n"/>
      <c r="B10" s="56" t="n"/>
      <c r="C10" s="57">
        <f>IF($O10="","",IF($R10&lt;&gt;"","",IF($O10=TODAY(),"●","")))</f>
        <v/>
      </c>
      <c r="D10" s="57">
        <f>IF($P10="","",IF($U10&lt;&gt;"","",IF(AND($P10&gt;=TODAY()-WEEKDAY(TODAY(),3),$P10&lt;=TODAY()-WEEKDAY(TODAY(),3)+6),"●","")))</f>
        <v/>
      </c>
      <c r="E10" s="57">
        <f>IF($P10="","",IF($U10&lt;&gt;"","",IF(AND($P10&gt;=DATE(YEAR(TODAY()),MONTH(TODAY()),1),$P10&lt;=EOMONTH(TODAY(),0)),"●","")))</f>
        <v/>
      </c>
      <c r="F10" s="58" t="n"/>
      <c r="G10" s="59" t="inlineStr">
        <is>
          <t>高</t>
        </is>
      </c>
      <c r="H10" s="116" t="n"/>
      <c r="I10" s="116" t="n"/>
      <c r="J10" s="61" t="inlineStr">
        <is>
          <t>非过滤条件</t>
        </is>
      </c>
      <c r="K10" s="122" t="inlineStr">
        <is>
          <t>DML操作类型勾选（insert、update、delete）</t>
        </is>
      </c>
      <c r="L10" s="112" t="n"/>
      <c r="M10" s="65" t="n"/>
      <c r="N10" s="113" t="n"/>
      <c r="O10" s="113" t="n"/>
      <c r="P10" s="114">
        <f>NETWORKDAYS(N10,O10)</f>
        <v/>
      </c>
      <c r="Q10" s="68" t="n"/>
      <c r="R10" s="69" t="n"/>
      <c r="S10" s="113" t="n"/>
      <c r="T10" s="113" t="n"/>
      <c r="U10" s="115">
        <f>IF(T10&lt;&gt;"",NETWORKDAYS(S10,T10),"")</f>
        <v/>
      </c>
      <c r="V10" s="71" t="inlineStr">
        <is>
          <t>&lt;用户提供用例编号&gt;</t>
        </is>
      </c>
      <c r="W10" s="72" t="n"/>
      <c r="X10" s="73" t="n"/>
    </row>
    <row r="11" ht="33" customHeight="1" s="99">
      <c r="A11" s="55" t="n"/>
      <c r="B11" s="56" t="n"/>
      <c r="C11" s="57">
        <f>IF($O11="","",IF($R11&lt;&gt;"","",IF($O11=TODAY(),"●","")))</f>
        <v/>
      </c>
      <c r="D11" s="57">
        <f>IF($P11="","",IF($U11&lt;&gt;"","",IF(AND($P11&gt;=TODAY()-WEEKDAY(TODAY(),3),$P11&lt;=TODAY()-WEEKDAY(TODAY(),3)+6),"●","")))</f>
        <v/>
      </c>
      <c r="E11" s="57">
        <f>IF($P11="","",IF($U11&lt;&gt;"","",IF(AND($P11&gt;=DATE(YEAR(TODAY()),MONTH(TODAY()),1),$P11&lt;=EOMONTH(TODAY(),0)),"●","")))</f>
        <v/>
      </c>
      <c r="F11" s="58" t="n"/>
      <c r="G11" s="59" t="inlineStr">
        <is>
          <t>高</t>
        </is>
      </c>
      <c r="H11" s="116" t="n"/>
      <c r="I11" s="116" t="n"/>
      <c r="J11" s="123" t="n"/>
      <c r="K11" s="122" t="inlineStr">
        <is>
          <t>DML操作类型不勾选（insert、update、delete</t>
        </is>
      </c>
      <c r="L11" s="112" t="n"/>
      <c r="M11" s="65" t="n"/>
      <c r="N11" s="113" t="n"/>
      <c r="O11" s="113" t="n"/>
      <c r="P11" s="114">
        <f>NETWORKDAYS(N11,O11)</f>
        <v/>
      </c>
      <c r="Q11" s="68" t="n"/>
      <c r="R11" s="69" t="n"/>
      <c r="S11" s="113" t="n"/>
      <c r="T11" s="113" t="n"/>
      <c r="U11" s="115">
        <f>IF(T11&lt;&gt;"",NETWORKDAYS(S11,T11),"")</f>
        <v/>
      </c>
      <c r="V11" s="71" t="inlineStr">
        <is>
          <t>&lt;用户提供用例编号&gt;</t>
        </is>
      </c>
      <c r="W11" s="72" t="n"/>
      <c r="X11" s="73" t="n"/>
    </row>
    <row r="12" ht="21.75" customHeight="1" s="99">
      <c r="A12" s="55" t="n"/>
      <c r="B12" s="56" t="n"/>
      <c r="C12" s="57">
        <f>IF($O12="","",IF($R12&lt;&gt;"","",IF($O12=TODAY(),"●","")))</f>
        <v/>
      </c>
      <c r="D12" s="57">
        <f>IF($P12="","",IF($U12&lt;&gt;"","",IF(AND($P12&gt;=TODAY()-WEEKDAY(TODAY(),3),$P12&lt;=TODAY()-WEEKDAY(TODAY(),3)+6),"●","")))</f>
        <v/>
      </c>
      <c r="E12" s="57">
        <f>IF($P12="","",IF($U12&lt;&gt;"","",IF(AND($P12&gt;=DATE(YEAR(TODAY()),MONTH(TODAY()),1),$P12&lt;=EOMONTH(TODAY(),0)),"●","")))</f>
        <v/>
      </c>
      <c r="F12" s="58" t="n"/>
      <c r="G12" s="59" t="inlineStr">
        <is>
          <t>高</t>
        </is>
      </c>
      <c r="H12" s="116" t="n"/>
      <c r="I12" s="116" t="n"/>
      <c r="J12" s="61" t="inlineStr">
        <is>
          <t>过滤条件</t>
        </is>
      </c>
      <c r="K12" s="86" t="inlineStr">
        <is>
          <t>DML操作类型勾选（insert、update、delete）</t>
        </is>
      </c>
      <c r="L12" s="61" t="inlineStr">
        <is>
          <t>行过滤</t>
        </is>
      </c>
      <c r="M12" s="65" t="n"/>
      <c r="N12" s="113" t="n"/>
      <c r="O12" s="113" t="n"/>
      <c r="P12" s="114">
        <f>NETWORKDAYS(N12,O12)</f>
        <v/>
      </c>
      <c r="Q12" s="68" t="n"/>
      <c r="R12" s="69" t="n"/>
      <c r="S12" s="113" t="n"/>
      <c r="T12" s="113" t="n"/>
      <c r="U12" s="115">
        <f>IF(T12&lt;&gt;"",NETWORKDAYS(S12,T12),"")</f>
        <v/>
      </c>
      <c r="V12" s="71" t="inlineStr">
        <is>
          <t>&lt;用户提供用例编号&gt;</t>
        </is>
      </c>
      <c r="W12" s="72" t="n"/>
      <c r="X12" s="73" t="n"/>
    </row>
    <row r="13" ht="21.75" customHeight="1" s="99">
      <c r="A13" s="55" t="n"/>
      <c r="B13" s="56" t="n"/>
      <c r="C13" s="57">
        <f>IF($O13="","",IF($R13&lt;&gt;"","",IF($O13=TODAY(),"●","")))</f>
        <v/>
      </c>
      <c r="D13" s="57">
        <f>IF($P13="","",IF($U13&lt;&gt;"","",IF(AND($P13&gt;=TODAY()-WEEKDAY(TODAY(),3),$P13&lt;=TODAY()-WEEKDAY(TODAY(),3)+6),"●","")))</f>
        <v/>
      </c>
      <c r="E13" s="57">
        <f>IF($P13="","",IF($U13&lt;&gt;"","",IF(AND($P13&gt;=DATE(YEAR(TODAY()),MONTH(TODAY()),1),$P13&lt;=EOMONTH(TODAY(),0)),"●","")))</f>
        <v/>
      </c>
      <c r="F13" s="58" t="n"/>
      <c r="G13" s="59" t="inlineStr">
        <is>
          <t>高</t>
        </is>
      </c>
      <c r="H13" s="116" t="n"/>
      <c r="I13" s="116" t="n"/>
      <c r="J13" s="116" t="n"/>
      <c r="K13" s="116" t="n"/>
      <c r="L13" s="61" t="inlineStr">
        <is>
          <t>列过滤</t>
        </is>
      </c>
      <c r="M13" s="65" t="n"/>
      <c r="N13" s="113" t="n"/>
      <c r="O13" s="113" t="n"/>
      <c r="P13" s="114">
        <f>NETWORKDAYS(N13,O13)</f>
        <v/>
      </c>
      <c r="Q13" s="68" t="n"/>
      <c r="R13" s="69" t="n"/>
      <c r="S13" s="113" t="n"/>
      <c r="T13" s="113" t="n"/>
      <c r="U13" s="115">
        <f>IF(T13&lt;&gt;"",NETWORKDAYS(S13,T13),"")</f>
        <v/>
      </c>
      <c r="V13" s="71" t="inlineStr">
        <is>
          <t>&lt;用户提供用例编号&gt;</t>
        </is>
      </c>
      <c r="W13" s="72" t="n"/>
      <c r="X13" s="73" t="n"/>
    </row>
    <row r="14" ht="21.75" customHeight="1" s="99">
      <c r="A14" s="55" t="n"/>
      <c r="B14" s="56" t="n"/>
      <c r="C14" s="57">
        <f>IF($O14="","",IF($R14&lt;&gt;"","",IF($O14=TODAY(),"●","")))</f>
        <v/>
      </c>
      <c r="D14" s="57">
        <f>IF($P14="","",IF($U14&lt;&gt;"","",IF(AND($P14&gt;=TODAY()-WEEKDAY(TODAY(),3),$P14&lt;=TODAY()-WEEKDAY(TODAY(),3)+6),"●","")))</f>
        <v/>
      </c>
      <c r="E14" s="57">
        <f>IF($P14="","",IF($U14&lt;&gt;"","",IF(AND($P14&gt;=DATE(YEAR(TODAY()),MONTH(TODAY()),1),$P14&lt;=EOMONTH(TODAY(),0)),"●","")))</f>
        <v/>
      </c>
      <c r="F14" s="58" t="n"/>
      <c r="G14" s="59" t="inlineStr">
        <is>
          <t>高</t>
        </is>
      </c>
      <c r="H14" s="116" t="n"/>
      <c r="I14" s="116" t="n"/>
      <c r="J14" s="116" t="n"/>
      <c r="K14" s="116" t="n"/>
      <c r="L14" s="61" t="inlineStr">
        <is>
          <t>字段值截取过滤</t>
        </is>
      </c>
      <c r="M14" s="65" t="n"/>
      <c r="N14" s="113" t="n"/>
      <c r="O14" s="113" t="n"/>
      <c r="P14" s="114">
        <f>NETWORKDAYS(N14,O14)</f>
        <v/>
      </c>
      <c r="Q14" s="68" t="n"/>
      <c r="R14" s="69" t="n"/>
      <c r="S14" s="113" t="n"/>
      <c r="T14" s="113" t="n"/>
      <c r="U14" s="115">
        <f>IF(T14&lt;&gt;"",NETWORKDAYS(S14,T14),"")</f>
        <v/>
      </c>
      <c r="V14" s="71" t="inlineStr">
        <is>
          <t>&lt;用户提供用例编号&gt;</t>
        </is>
      </c>
      <c r="W14" s="72" t="n"/>
      <c r="X14" s="73" t="n"/>
    </row>
    <row r="15" ht="21.75" customHeight="1" s="99">
      <c r="A15" s="55" t="n"/>
      <c r="B15" s="56" t="n"/>
      <c r="C15" s="57">
        <f>IF($O15="","",IF($R15&lt;&gt;"","",IF($O15=TODAY(),"●","")))</f>
        <v/>
      </c>
      <c r="D15" s="57">
        <f>IF($P15="","",IF($U15&lt;&gt;"","",IF(AND($P15&gt;=TODAY()-WEEKDAY(TODAY(),3),$P15&lt;=TODAY()-WEEKDAY(TODAY(),3)+6),"●","")))</f>
        <v/>
      </c>
      <c r="E15" s="57">
        <f>IF($P15="","",IF($U15&lt;&gt;"","",IF(AND($P15&gt;=DATE(YEAR(TODAY()),MONTH(TODAY()),1),$P15&lt;=EOMONTH(TODAY(),0)),"●","")))</f>
        <v/>
      </c>
      <c r="F15" s="58" t="n"/>
      <c r="G15" s="59" t="inlineStr">
        <is>
          <t>高</t>
        </is>
      </c>
      <c r="H15" s="116" t="n"/>
      <c r="I15" s="116" t="n"/>
      <c r="J15" s="116" t="n"/>
      <c r="K15" s="86" t="inlineStr">
        <is>
          <t>DML操作类型不勾选（insert、update、delete）</t>
        </is>
      </c>
      <c r="L15" s="61" t="inlineStr">
        <is>
          <t>行过滤</t>
        </is>
      </c>
      <c r="M15" s="65" t="n"/>
      <c r="N15" s="113" t="n"/>
      <c r="O15" s="113" t="n"/>
      <c r="P15" s="114">
        <f>NETWORKDAYS(N15,O15)</f>
        <v/>
      </c>
      <c r="Q15" s="68" t="n"/>
      <c r="R15" s="69" t="n"/>
      <c r="S15" s="113" t="n"/>
      <c r="T15" s="113" t="n"/>
      <c r="U15" s="115">
        <f>IF(T15&lt;&gt;"",NETWORKDAYS(S15,T15),"")</f>
        <v/>
      </c>
      <c r="V15" s="71" t="inlineStr">
        <is>
          <t>&lt;用户提供用例编号&gt;</t>
        </is>
      </c>
      <c r="W15" s="72" t="n"/>
      <c r="X15" s="73" t="n"/>
    </row>
    <row r="16" ht="21.75" customHeight="1" s="99">
      <c r="A16" s="55" t="n"/>
      <c r="B16" s="56" t="n"/>
      <c r="C16" s="57">
        <f>IF($O16="","",IF($R16&lt;&gt;"","",IF($O16=TODAY(),"●","")))</f>
        <v/>
      </c>
      <c r="D16" s="57">
        <f>IF($P16="","",IF($U16&lt;&gt;"","",IF(AND($P16&gt;=TODAY()-WEEKDAY(TODAY(),3),$P16&lt;=TODAY()-WEEKDAY(TODAY(),3)+6),"●","")))</f>
        <v/>
      </c>
      <c r="E16" s="57">
        <f>IF($P16="","",IF($U16&lt;&gt;"","",IF(AND($P16&gt;=DATE(YEAR(TODAY()),MONTH(TODAY()),1),$P16&lt;=EOMONTH(TODAY(),0)),"●","")))</f>
        <v/>
      </c>
      <c r="F16" s="58" t="n"/>
      <c r="G16" s="59" t="inlineStr">
        <is>
          <t>高</t>
        </is>
      </c>
      <c r="H16" s="116" t="n"/>
      <c r="I16" s="116" t="n"/>
      <c r="J16" s="116" t="n"/>
      <c r="K16" s="116" t="n"/>
      <c r="L16" s="61" t="inlineStr">
        <is>
          <t>列过滤</t>
        </is>
      </c>
      <c r="M16" s="65" t="n"/>
      <c r="N16" s="113" t="n"/>
      <c r="O16" s="113" t="n"/>
      <c r="P16" s="114">
        <f>NETWORKDAYS(N16,O16)</f>
        <v/>
      </c>
      <c r="Q16" s="68" t="n"/>
      <c r="R16" s="69" t="n"/>
      <c r="S16" s="113" t="n"/>
      <c r="T16" s="113" t="n"/>
      <c r="U16" s="115">
        <f>IF(T16&lt;&gt;"",NETWORKDAYS(S16,T16),"")</f>
        <v/>
      </c>
      <c r="V16" s="71" t="inlineStr">
        <is>
          <t>&lt;用户提供用例编号&gt;</t>
        </is>
      </c>
      <c r="W16" s="72" t="n"/>
      <c r="X16" s="73" t="n"/>
    </row>
    <row r="17" ht="21.75" customHeight="1" s="99">
      <c r="A17" s="55" t="n"/>
      <c r="B17" s="56" t="n"/>
      <c r="C17" s="57">
        <f>IF($O17="","",IF($R17&lt;&gt;"","",IF($O17=TODAY(),"●","")))</f>
        <v/>
      </c>
      <c r="D17" s="57">
        <f>IF($P17="","",IF($U17&lt;&gt;"","",IF(AND($P17&gt;=TODAY()-WEEKDAY(TODAY(),3),$P17&lt;=TODAY()-WEEKDAY(TODAY(),3)+6),"●","")))</f>
        <v/>
      </c>
      <c r="E17" s="57">
        <f>IF($P17="","",IF($U17&lt;&gt;"","",IF(AND($P17&gt;=DATE(YEAR(TODAY()),MONTH(TODAY()),1),$P17&lt;=EOMONTH(TODAY(),0)),"●","")))</f>
        <v/>
      </c>
      <c r="F17" s="58" t="n"/>
      <c r="G17" s="59" t="inlineStr">
        <is>
          <t>高</t>
        </is>
      </c>
      <c r="H17" s="116" t="n"/>
      <c r="I17" s="116" t="n"/>
      <c r="J17" s="123" t="n"/>
      <c r="K17" s="116" t="n"/>
      <c r="L17" s="61" t="inlineStr">
        <is>
          <t>字段值截取过滤</t>
        </is>
      </c>
      <c r="M17" s="65" t="n"/>
      <c r="N17" s="113" t="n"/>
      <c r="O17" s="113" t="n"/>
      <c r="P17" s="114">
        <f>NETWORKDAYS(N17,O17)</f>
        <v/>
      </c>
      <c r="Q17" s="68" t="n"/>
      <c r="R17" s="69" t="n"/>
      <c r="S17" s="113" t="n"/>
      <c r="T17" s="113" t="n"/>
      <c r="U17" s="115">
        <f>IF(T17&lt;&gt;"",NETWORKDAYS(S17,T17),"")</f>
        <v/>
      </c>
      <c r="V17" s="71" t="inlineStr">
        <is>
          <t>&lt;用户提供用例编号&gt;</t>
        </is>
      </c>
      <c r="W17" s="72" t="n"/>
      <c r="X17" s="73" t="n"/>
    </row>
    <row r="18" ht="30.75" customHeight="1" s="99">
      <c r="A18" s="55" t="n"/>
      <c r="B18" s="56" t="n"/>
      <c r="C18" s="57">
        <f>IF($O18="","",IF($R18&lt;&gt;"","",IF($O18=TODAY(),"●","")))</f>
        <v/>
      </c>
      <c r="D18" s="57">
        <f>IF($P18="","",IF($U18&lt;&gt;"","",IF(AND($P18&gt;=TODAY()-WEEKDAY(TODAY(),3),$P18&lt;=TODAY()-WEEKDAY(TODAY(),3)+6),"●","")))</f>
        <v/>
      </c>
      <c r="E18" s="57">
        <f>IF($P18="","",IF($U18&lt;&gt;"","",IF(AND($P18&gt;=DATE(YEAR(TODAY()),MONTH(TODAY()),1),$P18&lt;=EOMONTH(TODAY(),0)),"●","")))</f>
        <v/>
      </c>
      <c r="F18" s="58" t="n"/>
      <c r="G18" s="59" t="inlineStr">
        <is>
          <t>高</t>
        </is>
      </c>
      <c r="H18" s="116" t="n"/>
      <c r="I18" s="61" t="inlineStr">
        <is>
          <t>全+增</t>
        </is>
      </c>
      <c r="J18" s="61" t="inlineStr">
        <is>
          <t>非过滤条件</t>
        </is>
      </c>
      <c r="K18" s="122" t="inlineStr">
        <is>
          <t>DML操作类型勾选（insert、update、delete）</t>
        </is>
      </c>
      <c r="L18" s="112" t="n"/>
      <c r="M18" s="65" t="n"/>
      <c r="N18" s="113" t="n"/>
      <c r="O18" s="113" t="n"/>
      <c r="P18" s="114">
        <f>NETWORKDAYS(N18,O18)</f>
        <v/>
      </c>
      <c r="Q18" s="68" t="n"/>
      <c r="R18" s="69" t="n"/>
      <c r="S18" s="113" t="n"/>
      <c r="T18" s="113" t="n"/>
      <c r="U18" s="115">
        <f>IF(T18&lt;&gt;"",NETWORKDAYS(S18,T18),"")</f>
        <v/>
      </c>
      <c r="V18" s="71" t="inlineStr">
        <is>
          <t>&lt;用户提供用例编号&gt;</t>
        </is>
      </c>
      <c r="W18" s="72" t="n"/>
      <c r="X18" s="73" t="n"/>
    </row>
    <row r="19" ht="34.5" customHeight="1" s="99">
      <c r="A19" s="55" t="n"/>
      <c r="B19" s="56" t="n"/>
      <c r="C19" s="57">
        <f>IF($O19="","",IF($R19&lt;&gt;"","",IF($O19=TODAY(),"●","")))</f>
        <v/>
      </c>
      <c r="D19" s="57">
        <f>IF($P19="","",IF($U19&lt;&gt;"","",IF(AND($P19&gt;=TODAY()-WEEKDAY(TODAY(),3),$P19&lt;=TODAY()-WEEKDAY(TODAY(),3)+6),"●","")))</f>
        <v/>
      </c>
      <c r="E19" s="57">
        <f>IF($P19="","",IF($U19&lt;&gt;"","",IF(AND($P19&gt;=DATE(YEAR(TODAY()),MONTH(TODAY()),1),$P19&lt;=EOMONTH(TODAY(),0)),"●","")))</f>
        <v/>
      </c>
      <c r="F19" s="58" t="n"/>
      <c r="G19" s="59" t="inlineStr">
        <is>
          <t>高</t>
        </is>
      </c>
      <c r="H19" s="116" t="n"/>
      <c r="I19" s="116" t="n"/>
      <c r="J19" s="123" t="n"/>
      <c r="K19" s="122" t="inlineStr">
        <is>
          <t>DML操作类型不勾选（insert、update、delete</t>
        </is>
      </c>
      <c r="L19" s="112" t="n"/>
      <c r="M19" s="65" t="n"/>
      <c r="N19" s="113" t="n"/>
      <c r="O19" s="113" t="n"/>
      <c r="P19" s="114">
        <f>NETWORKDAYS(N19,O19)</f>
        <v/>
      </c>
      <c r="Q19" s="68" t="n"/>
      <c r="R19" s="69" t="n"/>
      <c r="S19" s="113" t="n"/>
      <c r="T19" s="113" t="n"/>
      <c r="U19" s="115">
        <f>IF(T19&lt;&gt;"",NETWORKDAYS(S19,T19),"")</f>
        <v/>
      </c>
      <c r="V19" s="71" t="inlineStr">
        <is>
          <t>&lt;用户提供用例编号&gt;</t>
        </is>
      </c>
      <c r="W19" s="72" t="n"/>
      <c r="X19" s="73" t="n"/>
    </row>
    <row r="20" ht="21.75" customHeight="1" s="99">
      <c r="A20" s="55" t="n"/>
      <c r="B20" s="56" t="n"/>
      <c r="C20" s="57">
        <f>IF($O20="","",IF($R20&lt;&gt;"","",IF($O20=TODAY(),"●","")))</f>
        <v/>
      </c>
      <c r="D20" s="57">
        <f>IF($P20="","",IF($U20&lt;&gt;"","",IF(AND($P20&gt;=TODAY()-WEEKDAY(TODAY(),3),$P20&lt;=TODAY()-WEEKDAY(TODAY(),3)+6),"●","")))</f>
        <v/>
      </c>
      <c r="E20" s="57">
        <f>IF($P20="","",IF($U20&lt;&gt;"","",IF(AND($P20&gt;=DATE(YEAR(TODAY()),MONTH(TODAY()),1),$P20&lt;=EOMONTH(TODAY(),0)),"●","")))</f>
        <v/>
      </c>
      <c r="F20" s="58" t="n"/>
      <c r="G20" s="59" t="inlineStr">
        <is>
          <t>高</t>
        </is>
      </c>
      <c r="H20" s="116" t="n"/>
      <c r="I20" s="116" t="n"/>
      <c r="J20" s="61" t="inlineStr">
        <is>
          <t>过滤条件</t>
        </is>
      </c>
      <c r="K20" s="86" t="inlineStr">
        <is>
          <t>DML操作类型勾选（insert、update、delete）</t>
        </is>
      </c>
      <c r="L20" s="61" t="inlineStr">
        <is>
          <t>行过滤</t>
        </is>
      </c>
      <c r="M20" s="65" t="n"/>
      <c r="N20" s="113" t="n"/>
      <c r="O20" s="113" t="n"/>
      <c r="P20" s="114">
        <f>NETWORKDAYS(N20,O20)</f>
        <v/>
      </c>
      <c r="Q20" s="68" t="n"/>
      <c r="R20" s="69" t="n"/>
      <c r="S20" s="113" t="n"/>
      <c r="T20" s="113" t="n"/>
      <c r="U20" s="115">
        <f>IF(T20&lt;&gt;"",NETWORKDAYS(S20,T20),"")</f>
        <v/>
      </c>
      <c r="V20" s="71" t="inlineStr">
        <is>
          <t>&lt;用户提供用例编号&gt;</t>
        </is>
      </c>
      <c r="W20" s="72" t="n"/>
      <c r="X20" s="73" t="n"/>
    </row>
    <row r="21" ht="21.75" customHeight="1" s="99">
      <c r="A21" s="55" t="n"/>
      <c r="B21" s="56" t="n"/>
      <c r="C21" s="57">
        <f>IF($O21="","",IF($R21&lt;&gt;"","",IF($O21=TODAY(),"●","")))</f>
        <v/>
      </c>
      <c r="D21" s="57">
        <f>IF($P21="","",IF($U21&lt;&gt;"","",IF(AND($P21&gt;=TODAY()-WEEKDAY(TODAY(),3),$P21&lt;=TODAY()-WEEKDAY(TODAY(),3)+6),"●","")))</f>
        <v/>
      </c>
      <c r="E21" s="57">
        <f>IF($P21="","",IF($U21&lt;&gt;"","",IF(AND($P21&gt;=DATE(YEAR(TODAY()),MONTH(TODAY()),1),$P21&lt;=EOMONTH(TODAY(),0)),"●","")))</f>
        <v/>
      </c>
      <c r="F21" s="58" t="n"/>
      <c r="G21" s="59" t="inlineStr">
        <is>
          <t>高</t>
        </is>
      </c>
      <c r="H21" s="116" t="n"/>
      <c r="I21" s="116" t="n"/>
      <c r="J21" s="116" t="n"/>
      <c r="K21" s="116" t="n"/>
      <c r="L21" s="61" t="inlineStr">
        <is>
          <t>列过滤</t>
        </is>
      </c>
      <c r="M21" s="65" t="n"/>
      <c r="N21" s="113" t="n"/>
      <c r="O21" s="113" t="n"/>
      <c r="P21" s="114">
        <f>NETWORKDAYS(N21,O21)</f>
        <v/>
      </c>
      <c r="Q21" s="68" t="n"/>
      <c r="R21" s="69" t="n"/>
      <c r="S21" s="113" t="n"/>
      <c r="T21" s="113" t="n"/>
      <c r="U21" s="115">
        <f>IF(T21&lt;&gt;"",NETWORKDAYS(S21,T21),"")</f>
        <v/>
      </c>
      <c r="V21" s="71" t="inlineStr">
        <is>
          <t>&lt;用户提供用例编号&gt;</t>
        </is>
      </c>
      <c r="W21" s="72" t="n"/>
      <c r="X21" s="73" t="n"/>
    </row>
    <row r="22" ht="21.75" customHeight="1" s="99">
      <c r="A22" s="55" t="n"/>
      <c r="B22" s="56" t="n"/>
      <c r="C22" s="57">
        <f>IF($O22="","",IF($R22&lt;&gt;"","",IF($O22=TODAY(),"●","")))</f>
        <v/>
      </c>
      <c r="D22" s="57">
        <f>IF($P22="","",IF($U22&lt;&gt;"","",IF(AND($P22&gt;=TODAY()-WEEKDAY(TODAY(),3),$P22&lt;=TODAY()-WEEKDAY(TODAY(),3)+6),"●","")))</f>
        <v/>
      </c>
      <c r="E22" s="57">
        <f>IF($P22="","",IF($U22&lt;&gt;"","",IF(AND($P22&gt;=DATE(YEAR(TODAY()),MONTH(TODAY()),1),$P22&lt;=EOMONTH(TODAY(),0)),"●","")))</f>
        <v/>
      </c>
      <c r="F22" s="58" t="n"/>
      <c r="G22" s="59" t="inlineStr">
        <is>
          <t>高</t>
        </is>
      </c>
      <c r="H22" s="116" t="n"/>
      <c r="I22" s="116" t="n"/>
      <c r="J22" s="116" t="n"/>
      <c r="K22" s="116" t="n"/>
      <c r="L22" s="61" t="inlineStr">
        <is>
          <t>字段值截取过滤</t>
        </is>
      </c>
      <c r="M22" s="65" t="n"/>
      <c r="N22" s="113" t="n"/>
      <c r="O22" s="113" t="n"/>
      <c r="P22" s="114">
        <f>NETWORKDAYS(N22,O22)</f>
        <v/>
      </c>
      <c r="Q22" s="68" t="n"/>
      <c r="R22" s="69" t="n"/>
      <c r="S22" s="113" t="n"/>
      <c r="T22" s="113" t="n"/>
      <c r="U22" s="115">
        <f>IF(T22&lt;&gt;"",NETWORKDAYS(S22,T22),"")</f>
        <v/>
      </c>
      <c r="V22" s="71" t="inlineStr">
        <is>
          <t>&lt;用户提供用例编号&gt;</t>
        </is>
      </c>
      <c r="W22" s="72" t="n"/>
      <c r="X22" s="73" t="n"/>
    </row>
    <row r="23" ht="21.75" customHeight="1" s="99">
      <c r="A23" s="55" t="n"/>
      <c r="B23" s="56" t="n"/>
      <c r="C23" s="57">
        <f>IF($O23="","",IF($R23&lt;&gt;"","",IF($O23=TODAY(),"●","")))</f>
        <v/>
      </c>
      <c r="D23" s="57">
        <f>IF($P23="","",IF($U23&lt;&gt;"","",IF(AND($P23&gt;=TODAY()-WEEKDAY(TODAY(),3),$P23&lt;=TODAY()-WEEKDAY(TODAY(),3)+6),"●","")))</f>
        <v/>
      </c>
      <c r="E23" s="57">
        <f>IF($P23="","",IF($U23&lt;&gt;"","",IF(AND($P23&gt;=DATE(YEAR(TODAY()),MONTH(TODAY()),1),$P23&lt;=EOMONTH(TODAY(),0)),"●","")))</f>
        <v/>
      </c>
      <c r="F23" s="58" t="n"/>
      <c r="G23" s="59" t="inlineStr">
        <is>
          <t>高</t>
        </is>
      </c>
      <c r="H23" s="116" t="n"/>
      <c r="I23" s="116" t="n"/>
      <c r="J23" s="116" t="n"/>
      <c r="K23" s="86" t="inlineStr">
        <is>
          <t>DML操作类型不勾选（insert、update、delete）</t>
        </is>
      </c>
      <c r="L23" s="61" t="inlineStr">
        <is>
          <t>行过滤</t>
        </is>
      </c>
      <c r="M23" s="65" t="n"/>
      <c r="N23" s="113" t="n"/>
      <c r="O23" s="113" t="n"/>
      <c r="P23" s="114">
        <f>NETWORKDAYS(N23,O23)</f>
        <v/>
      </c>
      <c r="Q23" s="68" t="n"/>
      <c r="R23" s="69" t="n"/>
      <c r="S23" s="113" t="n"/>
      <c r="T23" s="113" t="n"/>
      <c r="U23" s="115">
        <f>IF(T23&lt;&gt;"",NETWORKDAYS(S23,T23),"")</f>
        <v/>
      </c>
      <c r="V23" s="71" t="inlineStr">
        <is>
          <t>&lt;用户提供用例编号&gt;</t>
        </is>
      </c>
      <c r="W23" s="72" t="n"/>
      <c r="X23" s="73" t="n"/>
    </row>
    <row r="24" ht="21.75" customHeight="1" s="99">
      <c r="A24" s="55" t="n"/>
      <c r="B24" s="56" t="n"/>
      <c r="C24" s="57">
        <f>IF($O24="","",IF($R24&lt;&gt;"","",IF($O24=TODAY(),"●","")))</f>
        <v/>
      </c>
      <c r="D24" s="57">
        <f>IF($P24="","",IF($U24&lt;&gt;"","",IF(AND($P24&gt;=TODAY()-WEEKDAY(TODAY(),3),$P24&lt;=TODAY()-WEEKDAY(TODAY(),3)+6),"●","")))</f>
        <v/>
      </c>
      <c r="E24" s="57">
        <f>IF($P24="","",IF($U24&lt;&gt;"","",IF(AND($P24&gt;=DATE(YEAR(TODAY()),MONTH(TODAY()),1),$P24&lt;=EOMONTH(TODAY(),0)),"●","")))</f>
        <v/>
      </c>
      <c r="F24" s="58" t="n"/>
      <c r="G24" s="59" t="inlineStr">
        <is>
          <t>高</t>
        </is>
      </c>
      <c r="H24" s="116" t="n"/>
      <c r="I24" s="116" t="n"/>
      <c r="J24" s="116" t="n"/>
      <c r="K24" s="116" t="n"/>
      <c r="L24" s="61" t="inlineStr">
        <is>
          <t>列过滤</t>
        </is>
      </c>
      <c r="M24" s="65" t="n"/>
      <c r="N24" s="113" t="n"/>
      <c r="O24" s="113" t="n"/>
      <c r="P24" s="114">
        <f>NETWORKDAYS(N24,O24)</f>
        <v/>
      </c>
      <c r="Q24" s="68" t="n"/>
      <c r="R24" s="69" t="n"/>
      <c r="S24" s="113" t="n"/>
      <c r="T24" s="113" t="n"/>
      <c r="U24" s="115">
        <f>IF(T24&lt;&gt;"",NETWORKDAYS(S24,T24),"")</f>
        <v/>
      </c>
      <c r="V24" s="71" t="inlineStr">
        <is>
          <t>&lt;用户提供用例编号&gt;</t>
        </is>
      </c>
      <c r="W24" s="72" t="n"/>
      <c r="X24" s="73" t="n"/>
    </row>
    <row r="25" ht="21.75" customHeight="1" s="99">
      <c r="A25" s="55" t="n"/>
      <c r="B25" s="56" t="n"/>
      <c r="C25" s="57">
        <f>IF($O25="","",IF($R25&lt;&gt;"","",IF($O25=TODAY(),"●","")))</f>
        <v/>
      </c>
      <c r="D25" s="57">
        <f>IF($P25="","",IF($U25&lt;&gt;"","",IF(AND($P25&gt;=TODAY()-WEEKDAY(TODAY(),3),$P25&lt;=TODAY()-WEEKDAY(TODAY(),3)+6),"●","")))</f>
        <v/>
      </c>
      <c r="E25" s="57">
        <f>IF($P25="","",IF($U25&lt;&gt;"","",IF(AND($P25&gt;=DATE(YEAR(TODAY()),MONTH(TODAY()),1),$P25&lt;=EOMONTH(TODAY(),0)),"●","")))</f>
        <v/>
      </c>
      <c r="F25" s="58" t="n"/>
      <c r="G25" s="59" t="inlineStr">
        <is>
          <t>高</t>
        </is>
      </c>
      <c r="H25" s="116" t="n"/>
      <c r="I25" s="123" t="n"/>
      <c r="J25" s="123" t="n"/>
      <c r="K25" s="116" t="n"/>
      <c r="L25" s="61" t="inlineStr">
        <is>
          <t>字段值截取过滤</t>
        </is>
      </c>
      <c r="M25" s="65" t="n"/>
      <c r="N25" s="113" t="n"/>
      <c r="O25" s="113" t="n"/>
      <c r="P25" s="114">
        <f>NETWORKDAYS(N25,O25)</f>
        <v/>
      </c>
      <c r="Q25" s="68" t="n"/>
      <c r="R25" s="69" t="n"/>
      <c r="S25" s="113" t="n"/>
      <c r="T25" s="113" t="n"/>
      <c r="U25" s="115">
        <f>IF(T25&lt;&gt;"",NETWORKDAYS(S25,T25),"")</f>
        <v/>
      </c>
      <c r="V25" s="71" t="inlineStr">
        <is>
          <t>&lt;用户提供用例编号&gt;</t>
        </is>
      </c>
      <c r="W25" s="72" t="n"/>
      <c r="X25" s="73" t="n"/>
    </row>
    <row r="26" ht="21.75" customHeight="1" s="99">
      <c r="A26" s="55" t="n"/>
      <c r="B26" s="56" t="n"/>
      <c r="C26" s="57">
        <f>IF($O26="","",IF($R26&lt;&gt;"","",IF($O26=TODAY(),"●","")))</f>
        <v/>
      </c>
      <c r="D26" s="57">
        <f>IF($P26="","",IF($U26&lt;&gt;"","",IF(AND($P26&gt;=TODAY()-WEEKDAY(TODAY(),3),$P26&lt;=TODAY()-WEEKDAY(TODAY(),3)+6),"●","")))</f>
        <v/>
      </c>
      <c r="E26" s="57">
        <f>IF($P26="","",IF($U26&lt;&gt;"","",IF(AND($P26&gt;=DATE(YEAR(TODAY()),MONTH(TODAY()),1),$P26&lt;=EOMONTH(TODAY(),0)),"●","")))</f>
        <v/>
      </c>
      <c r="F26" s="58" t="n"/>
      <c r="G26" s="59" t="inlineStr">
        <is>
          <t>高</t>
        </is>
      </c>
      <c r="H26" s="116" t="n"/>
      <c r="I26" s="61" t="inlineStr">
        <is>
          <t>内容比对</t>
        </is>
      </c>
      <c r="J26" s="61" t="inlineStr">
        <is>
          <t>数量比对</t>
        </is>
      </c>
      <c r="K26" s="121" t="n"/>
      <c r="L26" s="65" t="n"/>
      <c r="M26" s="65" t="n"/>
      <c r="N26" s="113" t="n"/>
      <c r="O26" s="113" t="n"/>
      <c r="P26" s="114">
        <f>NETWORKDAYS(N26,O26)</f>
        <v/>
      </c>
      <c r="Q26" s="68" t="n"/>
      <c r="R26" s="69" t="n"/>
      <c r="S26" s="113" t="n"/>
      <c r="T26" s="113" t="n"/>
      <c r="U26" s="115">
        <f>IF(T26&lt;&gt;"",NETWORKDAYS(S26,T26),"")</f>
        <v/>
      </c>
      <c r="V26" s="71" t="inlineStr">
        <is>
          <t>&lt;用户提供用例编号&gt;</t>
        </is>
      </c>
      <c r="W26" s="72" t="n"/>
      <c r="X26" s="73" t="n"/>
    </row>
    <row r="27" ht="21.75" customHeight="1" s="99">
      <c r="A27" s="55" t="n"/>
      <c r="B27" s="56" t="n"/>
      <c r="C27" s="57">
        <f>IF($O27="","",IF($R27&lt;&gt;"","",IF($O27=TODAY(),"●","")))</f>
        <v/>
      </c>
      <c r="D27" s="57">
        <f>IF($P27="","",IF($U27&lt;&gt;"","",IF(AND($P27&gt;=TODAY()-WEEKDAY(TODAY(),3),$P27&lt;=TODAY()-WEEKDAY(TODAY(),3)+6),"●","")))</f>
        <v/>
      </c>
      <c r="E27" s="57">
        <f>IF($P27="","",IF($U27&lt;&gt;"","",IF(AND($P27&gt;=DATE(YEAR(TODAY()),MONTH(TODAY()),1),$P27&lt;=EOMONTH(TODAY(),0)),"●","")))</f>
        <v/>
      </c>
      <c r="F27" s="58" t="n"/>
      <c r="G27" s="59" t="inlineStr">
        <is>
          <t>高</t>
        </is>
      </c>
      <c r="H27" s="116" t="n"/>
      <c r="I27" s="116" t="n"/>
      <c r="J27" s="61" t="inlineStr">
        <is>
          <t>静态全量比对</t>
        </is>
      </c>
      <c r="K27" s="121" t="n"/>
      <c r="L27" s="65" t="n"/>
      <c r="M27" s="65" t="n"/>
      <c r="N27" s="113" t="n"/>
      <c r="O27" s="113" t="n"/>
      <c r="P27" s="114">
        <f>NETWORKDAYS(N27,O27)</f>
        <v/>
      </c>
      <c r="Q27" s="68" t="n"/>
      <c r="R27" s="69" t="n"/>
      <c r="S27" s="113" t="n"/>
      <c r="T27" s="113" t="n"/>
      <c r="U27" s="115">
        <f>IF(T27&lt;&gt;"",NETWORKDAYS(S27,T27),"")</f>
        <v/>
      </c>
      <c r="V27" s="71" t="inlineStr">
        <is>
          <t>&lt;用户提供用例编号&gt;</t>
        </is>
      </c>
      <c r="W27" s="72" t="n"/>
      <c r="X27" s="73" t="n"/>
    </row>
    <row r="28" ht="21.75" customHeight="1" s="99">
      <c r="A28" s="55" t="n"/>
      <c r="B28" s="56" t="n"/>
      <c r="C28" s="57">
        <f>IF($O28="","",IF($R28&lt;&gt;"","",IF($O28=TODAY(),"●","")))</f>
        <v/>
      </c>
      <c r="D28" s="57">
        <f>IF($P28="","",IF($U28&lt;&gt;"","",IF(AND($P28&gt;=TODAY()-WEEKDAY(TODAY(),3),$P28&lt;=TODAY()-WEEKDAY(TODAY(),3)+6),"●","")))</f>
        <v/>
      </c>
      <c r="E28" s="57">
        <f>IF($P28="","",IF($U28&lt;&gt;"","",IF(AND($P28&gt;=DATE(YEAR(TODAY()),MONTH(TODAY()),1),$P28&lt;=EOMONTH(TODAY(),0)),"●","")))</f>
        <v/>
      </c>
      <c r="F28" s="58" t="n"/>
      <c r="G28" s="59" t="inlineStr">
        <is>
          <t>高</t>
        </is>
      </c>
      <c r="H28" s="116" t="n"/>
      <c r="I28" s="116" t="n"/>
      <c r="J28" s="61" t="inlineStr">
        <is>
          <t>抽样比对</t>
        </is>
      </c>
      <c r="K28" s="121" t="n"/>
      <c r="L28" s="65" t="n"/>
      <c r="M28" s="65" t="n"/>
      <c r="N28" s="113" t="n"/>
      <c r="O28" s="113" t="n"/>
      <c r="P28" s="114">
        <f>NETWORKDAYS(N28,O28)</f>
        <v/>
      </c>
      <c r="Q28" s="68" t="n"/>
      <c r="R28" s="69" t="n"/>
      <c r="S28" s="113" t="n"/>
      <c r="T28" s="113" t="n"/>
      <c r="U28" s="115">
        <f>IF(T28&lt;&gt;"",NETWORKDAYS(S28,T28),"")</f>
        <v/>
      </c>
      <c r="V28" s="71" t="inlineStr">
        <is>
          <t>&lt;用户提供用例编号&gt;</t>
        </is>
      </c>
      <c r="W28" s="72" t="n"/>
      <c r="X28" s="73" t="n"/>
    </row>
    <row r="29" ht="21.75" customHeight="1" s="99">
      <c r="A29" s="55" t="n"/>
      <c r="B29" s="56" t="n"/>
      <c r="C29" s="57">
        <f>IF($O29="","",IF($R29&lt;&gt;"","",IF($O29=TODAY(),"●","")))</f>
        <v/>
      </c>
      <c r="D29" s="57">
        <f>IF($P29="","",IF($U29&lt;&gt;"","",IF(AND($P29&gt;=TODAY()-WEEKDAY(TODAY(),3),$P29&lt;=TODAY()-WEEKDAY(TODAY(),3)+6),"●","")))</f>
        <v/>
      </c>
      <c r="E29" s="57">
        <f>IF($P29="","",IF($U29&lt;&gt;"","",IF(AND($P29&gt;=DATE(YEAR(TODAY()),MONTH(TODAY()),1),$P29&lt;=EOMONTH(TODAY(),0)),"●","")))</f>
        <v/>
      </c>
      <c r="F29" s="58" t="n"/>
      <c r="G29" s="59" t="inlineStr">
        <is>
          <t>高</t>
        </is>
      </c>
      <c r="H29" s="123" t="n"/>
      <c r="I29" s="123" t="n"/>
      <c r="J29" s="61" t="inlineStr">
        <is>
          <t>动态比对</t>
        </is>
      </c>
      <c r="K29" s="61" t="inlineStr">
        <is>
          <t>源库insert、update、delete</t>
        </is>
      </c>
      <c r="L29" s="65" t="n"/>
      <c r="M29" s="65" t="n"/>
      <c r="N29" s="113" t="n"/>
      <c r="O29" s="113" t="n"/>
      <c r="P29" s="114">
        <f>NETWORKDAYS(N29,O29)</f>
        <v/>
      </c>
      <c r="Q29" s="68" t="n"/>
      <c r="R29" s="69" t="n"/>
      <c r="S29" s="124" t="n"/>
      <c r="T29" s="124" t="n"/>
      <c r="U29" s="125">
        <f>IF(T29&lt;&gt;"",NETWORKDAYS(S29,T29),"")</f>
        <v/>
      </c>
      <c r="V29" s="71" t="inlineStr">
        <is>
          <t>&lt;用户提供用例编号&gt;</t>
        </is>
      </c>
      <c r="W29" s="72" t="n"/>
      <c r="X29" s="73" t="n"/>
    </row>
    <row r="30" ht="33" customHeight="1" s="99">
      <c r="A30" s="89" t="n"/>
      <c r="B30" s="90" t="n"/>
      <c r="C30" s="91" t="n"/>
      <c r="D30" s="91" t="n"/>
      <c r="E30" s="91" t="n"/>
      <c r="F30" s="92" t="n"/>
      <c r="G30" s="93" t="n"/>
      <c r="H30" s="94" t="n"/>
      <c r="I30" s="33" t="n"/>
      <c r="J30" s="33" t="n"/>
      <c r="K30" s="33" t="n"/>
      <c r="L30" s="93" t="n"/>
      <c r="M30" s="93" t="n"/>
      <c r="N30" s="126" t="n"/>
      <c r="O30" s="126" t="n"/>
      <c r="P30" s="127" t="n"/>
      <c r="Q30" s="97" t="n"/>
      <c r="R30" s="98" t="n"/>
      <c r="S30" s="126" t="n"/>
      <c r="T30" s="126" t="n"/>
      <c r="U30" s="127" t="n"/>
      <c r="V30" s="98" t="n"/>
      <c r="W30" s="98" t="n"/>
      <c r="X30" s="98" t="n"/>
    </row>
    <row r="31" ht="33" customHeight="1" s="99">
      <c r="A31" s="89" t="n"/>
      <c r="B31" s="90" t="n"/>
      <c r="C31" s="91" t="n"/>
      <c r="D31" s="91" t="n"/>
      <c r="E31" s="91" t="n"/>
      <c r="F31" s="92" t="n"/>
      <c r="G31" s="93" t="n"/>
      <c r="H31" s="94" t="n"/>
      <c r="I31" s="33" t="n"/>
      <c r="J31" s="33" t="n"/>
      <c r="K31" s="33" t="n"/>
      <c r="L31" s="93" t="n"/>
      <c r="M31" s="93" t="n"/>
      <c r="N31" s="126" t="n"/>
      <c r="O31" s="126" t="n"/>
      <c r="P31" s="127" t="n"/>
      <c r="Q31" s="97" t="n"/>
      <c r="R31" s="98" t="n"/>
      <c r="S31" s="126" t="n"/>
      <c r="T31" s="126" t="n"/>
      <c r="U31" s="127" t="n"/>
      <c r="V31" s="98" t="n"/>
      <c r="W31" s="98" t="n"/>
      <c r="X31" s="98" t="n"/>
    </row>
    <row r="32" ht="33" customHeight="1" s="99">
      <c r="A32" s="89" t="n"/>
      <c r="B32" s="90" t="n"/>
      <c r="C32" s="91" t="n"/>
      <c r="D32" s="91" t="n"/>
      <c r="E32" s="91" t="n"/>
      <c r="F32" s="92" t="n"/>
      <c r="G32" s="93" t="n"/>
      <c r="H32" s="94" t="n"/>
      <c r="I32" s="33" t="n"/>
      <c r="J32" s="33" t="n"/>
      <c r="K32" s="33" t="n"/>
      <c r="L32" s="93" t="n"/>
      <c r="M32" s="93" t="n"/>
      <c r="N32" s="126" t="n"/>
      <c r="O32" s="126" t="n"/>
      <c r="P32" s="127" t="n"/>
      <c r="Q32" s="97" t="n"/>
      <c r="R32" s="98" t="n"/>
      <c r="S32" s="126" t="n"/>
      <c r="T32" s="126" t="n"/>
      <c r="U32" s="127" t="n"/>
      <c r="V32" s="98" t="n"/>
      <c r="W32" s="98" t="n"/>
      <c r="X32" s="98" t="n"/>
    </row>
    <row r="33" ht="33" customHeight="1" s="99">
      <c r="A33" s="89" t="n"/>
      <c r="B33" s="90" t="n"/>
      <c r="C33" s="91" t="n"/>
      <c r="D33" s="91" t="n"/>
      <c r="E33" s="91" t="n"/>
      <c r="F33" s="92" t="n"/>
      <c r="G33" s="93" t="n"/>
      <c r="H33" s="94" t="n"/>
      <c r="I33" s="33" t="n"/>
      <c r="J33" s="33" t="n"/>
      <c r="K33" s="33" t="n"/>
      <c r="L33" s="93" t="n"/>
      <c r="M33" s="93" t="n"/>
      <c r="N33" s="126" t="n"/>
      <c r="O33" s="126" t="n"/>
      <c r="P33" s="127" t="n"/>
      <c r="Q33" s="97" t="n"/>
      <c r="R33" s="98" t="n"/>
      <c r="S33" s="126" t="n"/>
      <c r="T33" s="126" t="n"/>
      <c r="U33" s="127" t="n"/>
      <c r="V33" s="98" t="n"/>
      <c r="W33" s="98" t="n"/>
      <c r="X33" s="98" t="n"/>
    </row>
    <row r="34" ht="33" customHeight="1" s="99">
      <c r="A34" s="89" t="n"/>
      <c r="B34" s="90" t="n"/>
      <c r="C34" s="91" t="n"/>
      <c r="D34" s="91" t="n"/>
      <c r="E34" s="91" t="n"/>
      <c r="F34" s="92" t="n"/>
      <c r="G34" s="93" t="n"/>
      <c r="H34" s="94" t="n"/>
      <c r="I34" s="33" t="n"/>
      <c r="J34" s="33" t="n"/>
      <c r="K34" s="33" t="n"/>
      <c r="L34" s="93" t="n"/>
      <c r="M34" s="93" t="n"/>
      <c r="N34" s="126" t="n"/>
      <c r="O34" s="126" t="n"/>
      <c r="P34" s="127" t="n"/>
      <c r="Q34" s="97" t="n"/>
      <c r="R34" s="98" t="n"/>
      <c r="S34" s="126" t="n"/>
      <c r="T34" s="126" t="n"/>
      <c r="U34" s="127" t="n"/>
      <c r="V34" s="98" t="n"/>
      <c r="W34" s="98" t="n"/>
      <c r="X34" s="98" t="n"/>
    </row>
    <row r="35" ht="33" customHeight="1" s="99">
      <c r="A35" s="89" t="n"/>
      <c r="B35" s="90" t="n"/>
      <c r="C35" s="91" t="n"/>
      <c r="D35" s="91" t="n"/>
      <c r="E35" s="91" t="n"/>
      <c r="F35" s="92" t="n"/>
      <c r="G35" s="93" t="n"/>
      <c r="H35" s="94" t="n"/>
      <c r="I35" s="33" t="n"/>
      <c r="J35" s="33" t="n"/>
      <c r="K35" s="33" t="n"/>
      <c r="L35" s="93" t="n"/>
      <c r="M35" s="93" t="n"/>
      <c r="N35" s="126" t="n"/>
      <c r="O35" s="126" t="n"/>
      <c r="P35" s="127" t="n"/>
      <c r="Q35" s="97" t="n"/>
      <c r="R35" s="98" t="n"/>
      <c r="S35" s="126" t="n"/>
      <c r="T35" s="126" t="n"/>
      <c r="U35" s="127" t="n"/>
      <c r="V35" s="98" t="n"/>
      <c r="W35" s="98" t="n"/>
      <c r="X35" s="98" t="n"/>
    </row>
    <row r="36" ht="33" customHeight="1" s="99">
      <c r="A36" s="89" t="n"/>
      <c r="B36" s="90" t="n"/>
      <c r="C36" s="91" t="n"/>
      <c r="D36" s="91" t="n"/>
      <c r="E36" s="91" t="n"/>
      <c r="F36" s="92" t="n"/>
      <c r="G36" s="93" t="n"/>
      <c r="H36" s="94" t="n"/>
      <c r="I36" s="33" t="n"/>
      <c r="J36" s="33" t="n"/>
      <c r="K36" s="33" t="n"/>
      <c r="L36" s="93" t="n"/>
      <c r="M36" s="93" t="n"/>
      <c r="N36" s="126" t="n"/>
      <c r="O36" s="126" t="n"/>
      <c r="P36" s="127" t="n"/>
      <c r="Q36" s="97" t="n"/>
      <c r="R36" s="98" t="n"/>
      <c r="S36" s="126" t="n"/>
      <c r="T36" s="126" t="n"/>
      <c r="U36" s="127" t="n"/>
      <c r="V36" s="98" t="n"/>
      <c r="W36" s="98" t="n"/>
      <c r="X36" s="98" t="n"/>
    </row>
    <row r="37" ht="33" customHeight="1" s="99">
      <c r="A37" s="89" t="n"/>
      <c r="B37" s="90" t="n"/>
      <c r="C37" s="91" t="n"/>
      <c r="D37" s="91" t="n"/>
      <c r="E37" s="91" t="n"/>
      <c r="F37" s="92" t="n"/>
      <c r="G37" s="93" t="n"/>
      <c r="H37" s="94" t="n"/>
      <c r="I37" s="33" t="n"/>
      <c r="J37" s="33" t="n"/>
      <c r="K37" s="33" t="n"/>
      <c r="L37" s="93" t="n"/>
      <c r="M37" s="93" t="n"/>
      <c r="N37" s="126" t="n"/>
      <c r="O37" s="126" t="n"/>
      <c r="P37" s="127" t="n"/>
      <c r="Q37" s="97" t="n"/>
      <c r="R37" s="98" t="n"/>
      <c r="S37" s="126" t="n"/>
      <c r="T37" s="126" t="n"/>
      <c r="U37" s="127" t="n"/>
      <c r="V37" s="98" t="n"/>
      <c r="W37" s="98" t="n"/>
      <c r="X37" s="98" t="n"/>
    </row>
    <row r="38" ht="33" customHeight="1" s="99">
      <c r="A38" s="89" t="n"/>
      <c r="B38" s="90" t="n"/>
      <c r="C38" s="91" t="n"/>
      <c r="D38" s="91" t="n"/>
      <c r="E38" s="91" t="n"/>
      <c r="F38" s="92" t="n"/>
      <c r="G38" s="93" t="n"/>
      <c r="H38" s="94" t="n"/>
      <c r="I38" s="33" t="n"/>
      <c r="J38" s="33" t="n"/>
      <c r="K38" s="33" t="n"/>
      <c r="L38" s="93" t="n"/>
      <c r="M38" s="93" t="n"/>
      <c r="N38" s="126" t="n"/>
      <c r="O38" s="126" t="n"/>
      <c r="P38" s="127" t="n"/>
      <c r="Q38" s="97" t="n"/>
      <c r="R38" s="98" t="n"/>
      <c r="S38" s="126" t="n"/>
      <c r="T38" s="126" t="n"/>
      <c r="U38" s="127" t="n"/>
      <c r="V38" s="98" t="n"/>
      <c r="W38" s="98" t="n"/>
      <c r="X38" s="98" t="n"/>
    </row>
    <row r="39" ht="33" customHeight="1" s="99">
      <c r="A39" s="89" t="n"/>
      <c r="B39" s="90" t="n"/>
      <c r="C39" s="91" t="n"/>
      <c r="D39" s="91" t="n"/>
      <c r="E39" s="91" t="n"/>
      <c r="F39" s="92" t="n"/>
      <c r="G39" s="93" t="n"/>
      <c r="H39" s="94" t="n"/>
      <c r="I39" s="33" t="n"/>
      <c r="J39" s="33" t="n"/>
      <c r="K39" s="33" t="n"/>
      <c r="L39" s="93" t="n"/>
      <c r="M39" s="93" t="n"/>
      <c r="N39" s="126" t="n"/>
      <c r="O39" s="126" t="n"/>
      <c r="P39" s="127" t="n"/>
      <c r="Q39" s="97" t="n"/>
      <c r="R39" s="98" t="n"/>
      <c r="S39" s="126" t="n"/>
      <c r="T39" s="126" t="n"/>
      <c r="U39" s="127" t="n"/>
      <c r="V39" s="98" t="n"/>
      <c r="W39" s="98" t="n"/>
      <c r="X39" s="98" t="n"/>
    </row>
    <row r="40" ht="33" customHeight="1" s="99">
      <c r="A40" s="89" t="n"/>
      <c r="B40" s="90" t="n"/>
      <c r="C40" s="91" t="n"/>
      <c r="D40" s="91" t="n"/>
      <c r="E40" s="91" t="n"/>
      <c r="F40" s="92" t="n"/>
      <c r="G40" s="93" t="n"/>
      <c r="H40" s="94" t="n"/>
      <c r="I40" s="33" t="n"/>
      <c r="J40" s="33" t="n"/>
      <c r="K40" s="33" t="n"/>
      <c r="L40" s="93" t="n"/>
      <c r="M40" s="93" t="n"/>
      <c r="N40" s="126" t="n"/>
      <c r="O40" s="126" t="n"/>
      <c r="P40" s="127" t="n"/>
      <c r="Q40" s="97" t="n"/>
      <c r="R40" s="98" t="n"/>
      <c r="S40" s="126" t="n"/>
      <c r="T40" s="126" t="n"/>
      <c r="U40" s="127" t="n"/>
      <c r="V40" s="98" t="n"/>
      <c r="W40" s="98" t="n"/>
      <c r="X40" s="98" t="n"/>
    </row>
    <row r="41" ht="33" customHeight="1" s="99">
      <c r="A41" s="89" t="n"/>
      <c r="B41" s="90" t="n"/>
      <c r="C41" s="91" t="n"/>
      <c r="D41" s="91" t="n"/>
      <c r="E41" s="91" t="n"/>
      <c r="F41" s="92" t="n"/>
      <c r="G41" s="93" t="n"/>
      <c r="H41" s="94" t="n"/>
      <c r="I41" s="33" t="n"/>
      <c r="J41" s="33" t="n"/>
      <c r="K41" s="33" t="n"/>
      <c r="L41" s="93" t="n"/>
      <c r="M41" s="93" t="n"/>
      <c r="N41" s="126" t="n"/>
      <c r="O41" s="126" t="n"/>
      <c r="P41" s="127" t="n"/>
      <c r="Q41" s="97" t="n"/>
      <c r="R41" s="98" t="n"/>
      <c r="S41" s="126" t="n"/>
      <c r="T41" s="126" t="n"/>
      <c r="U41" s="127" t="n"/>
      <c r="V41" s="98" t="n"/>
      <c r="W41" s="98" t="n"/>
      <c r="X41" s="98" t="n"/>
    </row>
    <row r="42" ht="33" customHeight="1" s="99">
      <c r="A42" s="89" t="n"/>
      <c r="B42" s="90" t="n"/>
      <c r="C42" s="91" t="n"/>
      <c r="D42" s="91" t="n"/>
      <c r="E42" s="91" t="n"/>
      <c r="F42" s="92" t="n"/>
      <c r="G42" s="93" t="n"/>
      <c r="H42" s="94" t="n"/>
      <c r="I42" s="33" t="n"/>
      <c r="J42" s="33" t="n"/>
      <c r="K42" s="33" t="n"/>
      <c r="L42" s="93" t="n"/>
      <c r="M42" s="93" t="n"/>
      <c r="N42" s="126" t="n"/>
      <c r="O42" s="126" t="n"/>
      <c r="P42" s="127" t="n"/>
      <c r="Q42" s="97" t="n"/>
      <c r="R42" s="98" t="n"/>
      <c r="S42" s="126" t="n"/>
      <c r="T42" s="126" t="n"/>
      <c r="U42" s="127" t="n"/>
      <c r="V42" s="98" t="n"/>
      <c r="W42" s="98" t="n"/>
      <c r="X42" s="98" t="n"/>
    </row>
    <row r="43" ht="33" customHeight="1" s="99">
      <c r="A43" s="89" t="n"/>
      <c r="B43" s="90" t="n"/>
      <c r="C43" s="91" t="n"/>
      <c r="D43" s="91" t="n"/>
      <c r="E43" s="91" t="n"/>
      <c r="F43" s="92" t="n"/>
      <c r="G43" s="93" t="n"/>
      <c r="H43" s="94" t="n"/>
      <c r="I43" s="33" t="n"/>
      <c r="J43" s="33" t="n"/>
      <c r="K43" s="33" t="n"/>
      <c r="L43" s="93" t="n"/>
      <c r="M43" s="93" t="n"/>
      <c r="N43" s="126" t="n"/>
      <c r="O43" s="126" t="n"/>
      <c r="P43" s="127" t="n"/>
      <c r="Q43" s="97" t="n"/>
      <c r="R43" s="98" t="n"/>
      <c r="S43" s="126" t="n"/>
      <c r="T43" s="126" t="n"/>
      <c r="U43" s="127" t="n"/>
      <c r="V43" s="98" t="n"/>
      <c r="W43" s="98" t="n"/>
      <c r="X43" s="98" t="n"/>
    </row>
    <row r="44" ht="33" customHeight="1" s="99">
      <c r="A44" s="89" t="n"/>
      <c r="B44" s="90" t="n"/>
      <c r="C44" s="91" t="n"/>
      <c r="D44" s="91" t="n"/>
      <c r="E44" s="91" t="n"/>
      <c r="F44" s="92" t="n"/>
      <c r="G44" s="93" t="n"/>
      <c r="H44" s="94" t="n"/>
      <c r="I44" s="33" t="n"/>
      <c r="J44" s="33" t="n"/>
      <c r="K44" s="33" t="n"/>
      <c r="L44" s="93" t="n"/>
      <c r="M44" s="93" t="n"/>
      <c r="N44" s="126" t="n"/>
      <c r="O44" s="126" t="n"/>
      <c r="P44" s="127" t="n"/>
      <c r="Q44" s="97" t="n"/>
      <c r="R44" s="98" t="n"/>
      <c r="S44" s="126" t="n"/>
      <c r="T44" s="126" t="n"/>
      <c r="U44" s="127" t="n"/>
      <c r="V44" s="98" t="n"/>
      <c r="W44" s="98" t="n"/>
      <c r="X44" s="98" t="n"/>
    </row>
    <row r="45" ht="33" customHeight="1" s="99">
      <c r="A45" s="89" t="n"/>
      <c r="B45" s="90" t="n"/>
      <c r="C45" s="91" t="n"/>
      <c r="D45" s="91" t="n"/>
      <c r="E45" s="91" t="n"/>
      <c r="F45" s="92" t="n"/>
      <c r="G45" s="93" t="n"/>
      <c r="H45" s="94" t="n"/>
      <c r="I45" s="33" t="n"/>
      <c r="J45" s="33" t="n"/>
      <c r="K45" s="33" t="n"/>
      <c r="L45" s="93" t="n"/>
      <c r="M45" s="93" t="n"/>
      <c r="N45" s="126" t="n"/>
      <c r="O45" s="126" t="n"/>
      <c r="P45" s="127" t="n"/>
      <c r="Q45" s="97" t="n"/>
      <c r="R45" s="98" t="n"/>
      <c r="S45" s="126" t="n"/>
      <c r="T45" s="126" t="n"/>
      <c r="U45" s="127" t="n"/>
      <c r="V45" s="98" t="n"/>
      <c r="W45" s="98" t="n"/>
      <c r="X45" s="98" t="n"/>
    </row>
    <row r="46" ht="33" customHeight="1" s="99">
      <c r="A46" s="89" t="n"/>
      <c r="B46" s="90" t="n"/>
      <c r="C46" s="91" t="n"/>
      <c r="D46" s="91" t="n"/>
      <c r="E46" s="91" t="n"/>
      <c r="F46" s="92" t="n"/>
      <c r="G46" s="93" t="n"/>
      <c r="H46" s="94" t="n"/>
      <c r="I46" s="33" t="n"/>
      <c r="J46" s="33" t="n"/>
      <c r="K46" s="33" t="n"/>
      <c r="L46" s="93" t="n"/>
      <c r="M46" s="93" t="n"/>
      <c r="N46" s="126" t="n"/>
      <c r="O46" s="126" t="n"/>
      <c r="P46" s="127" t="n"/>
      <c r="Q46" s="97" t="n"/>
      <c r="R46" s="98" t="n"/>
      <c r="S46" s="126" t="n"/>
      <c r="T46" s="126" t="n"/>
      <c r="U46" s="127" t="n"/>
      <c r="V46" s="98" t="n"/>
      <c r="W46" s="98" t="n"/>
      <c r="X46" s="98" t="n"/>
    </row>
    <row r="47" ht="33" customHeight="1" s="99">
      <c r="A47" s="89" t="n"/>
      <c r="B47" s="90" t="n"/>
      <c r="C47" s="91" t="n"/>
      <c r="D47" s="91" t="n"/>
      <c r="E47" s="91" t="n"/>
      <c r="F47" s="92" t="n"/>
      <c r="G47" s="93" t="n"/>
      <c r="H47" s="94" t="n"/>
      <c r="I47" s="33" t="n"/>
      <c r="J47" s="33" t="n"/>
      <c r="K47" s="33" t="n"/>
      <c r="L47" s="93" t="n"/>
      <c r="M47" s="93" t="n"/>
      <c r="N47" s="126" t="n"/>
      <c r="O47" s="126" t="n"/>
      <c r="P47" s="127" t="n"/>
      <c r="Q47" s="97" t="n"/>
      <c r="R47" s="98" t="n"/>
      <c r="S47" s="126" t="n"/>
      <c r="T47" s="126" t="n"/>
      <c r="U47" s="127" t="n"/>
      <c r="V47" s="98" t="n"/>
      <c r="W47" s="98" t="n"/>
      <c r="X47" s="98" t="n"/>
    </row>
    <row r="48" ht="33" customHeight="1" s="99">
      <c r="A48" s="89" t="n"/>
      <c r="B48" s="90" t="n"/>
      <c r="C48" s="91" t="n"/>
      <c r="D48" s="91" t="n"/>
      <c r="E48" s="91" t="n"/>
      <c r="F48" s="92" t="n"/>
      <c r="G48" s="93" t="n"/>
      <c r="H48" s="94" t="n"/>
      <c r="I48" s="33" t="n"/>
      <c r="J48" s="33" t="n"/>
      <c r="K48" s="33" t="n"/>
      <c r="L48" s="93" t="n"/>
      <c r="M48" s="93" t="n"/>
      <c r="N48" s="126" t="n"/>
      <c r="O48" s="126" t="n"/>
      <c r="P48" s="127" t="n"/>
      <c r="Q48" s="97" t="n"/>
      <c r="R48" s="98" t="n"/>
      <c r="S48" s="126" t="n"/>
      <c r="T48" s="126" t="n"/>
      <c r="U48" s="127" t="n"/>
      <c r="V48" s="98" t="n"/>
      <c r="W48" s="98" t="n"/>
      <c r="X48" s="98" t="n"/>
    </row>
    <row r="49" ht="33" customHeight="1" s="99">
      <c r="A49" s="89" t="n"/>
      <c r="B49" s="90" t="n"/>
      <c r="C49" s="91" t="n"/>
      <c r="D49" s="91" t="n"/>
      <c r="E49" s="91" t="n"/>
      <c r="F49" s="92" t="n"/>
      <c r="G49" s="93" t="n"/>
      <c r="H49" s="94" t="n"/>
      <c r="I49" s="33" t="n"/>
      <c r="J49" s="33" t="n"/>
      <c r="K49" s="33" t="n"/>
      <c r="L49" s="93" t="n"/>
      <c r="M49" s="93" t="n"/>
      <c r="N49" s="126" t="n"/>
      <c r="O49" s="126" t="n"/>
      <c r="P49" s="127" t="n"/>
      <c r="Q49" s="97" t="n"/>
      <c r="R49" s="98" t="n"/>
      <c r="S49" s="126" t="n"/>
      <c r="T49" s="126" t="n"/>
      <c r="U49" s="127" t="n"/>
      <c r="V49" s="98" t="n"/>
      <c r="W49" s="98" t="n"/>
      <c r="X49" s="98" t="n"/>
    </row>
    <row r="50" ht="33" customHeight="1" s="99">
      <c r="A50" s="89" t="n"/>
      <c r="B50" s="90" t="n"/>
      <c r="C50" s="91" t="n"/>
      <c r="D50" s="91" t="n"/>
      <c r="E50" s="91" t="n"/>
      <c r="F50" s="92" t="n"/>
      <c r="G50" s="93" t="n"/>
      <c r="H50" s="94" t="n"/>
      <c r="I50" s="33" t="n"/>
      <c r="J50" s="33" t="n"/>
      <c r="K50" s="33" t="n"/>
      <c r="L50" s="93" t="n"/>
      <c r="M50" s="93" t="n"/>
      <c r="N50" s="126" t="n"/>
      <c r="O50" s="126" t="n"/>
      <c r="P50" s="127" t="n"/>
      <c r="Q50" s="97" t="n"/>
      <c r="R50" s="98" t="n"/>
      <c r="S50" s="126" t="n"/>
      <c r="T50" s="126" t="n"/>
      <c r="U50" s="127" t="n"/>
      <c r="V50" s="98" t="n"/>
      <c r="W50" s="98" t="n"/>
      <c r="X50" s="98" t="n"/>
    </row>
    <row r="51" ht="33" customHeight="1" s="99">
      <c r="A51" s="89" t="n"/>
      <c r="B51" s="90" t="n"/>
      <c r="C51" s="91" t="n"/>
      <c r="D51" s="91" t="n"/>
      <c r="E51" s="91" t="n"/>
      <c r="F51" s="92" t="n"/>
      <c r="G51" s="93" t="n"/>
      <c r="H51" s="94" t="n"/>
      <c r="I51" s="33" t="n"/>
      <c r="J51" s="33" t="n"/>
      <c r="K51" s="33" t="n"/>
      <c r="L51" s="93" t="n"/>
      <c r="M51" s="93" t="n"/>
      <c r="N51" s="126" t="n"/>
      <c r="O51" s="126" t="n"/>
      <c r="P51" s="127" t="n"/>
      <c r="Q51" s="97" t="n"/>
      <c r="R51" s="98" t="n"/>
      <c r="S51" s="126" t="n"/>
      <c r="T51" s="126" t="n"/>
      <c r="U51" s="127" t="n"/>
      <c r="V51" s="98" t="n"/>
      <c r="W51" s="98" t="n"/>
      <c r="X51" s="98" t="n"/>
    </row>
    <row r="52" ht="33" customHeight="1" s="99">
      <c r="A52" s="89" t="n"/>
      <c r="B52" s="90" t="n"/>
      <c r="C52" s="91" t="n"/>
      <c r="D52" s="91" t="n"/>
      <c r="E52" s="91" t="n"/>
      <c r="F52" s="92" t="n"/>
      <c r="G52" s="93" t="n"/>
      <c r="H52" s="94" t="n"/>
      <c r="I52" s="33" t="n"/>
      <c r="J52" s="33" t="n"/>
      <c r="K52" s="33" t="n"/>
      <c r="L52" s="93" t="n"/>
      <c r="M52" s="93" t="n"/>
      <c r="N52" s="126" t="n"/>
      <c r="O52" s="126" t="n"/>
      <c r="P52" s="127" t="n"/>
      <c r="Q52" s="97" t="n"/>
      <c r="R52" s="98" t="n"/>
      <c r="S52" s="126" t="n"/>
      <c r="T52" s="126" t="n"/>
      <c r="U52" s="127" t="n"/>
      <c r="V52" s="98" t="n"/>
      <c r="W52" s="98" t="n"/>
      <c r="X52" s="98" t="n"/>
    </row>
    <row r="53" ht="33" customHeight="1" s="99">
      <c r="A53" s="89" t="n"/>
      <c r="B53" s="90" t="n"/>
      <c r="C53" s="91" t="n"/>
      <c r="D53" s="91" t="n"/>
      <c r="E53" s="91" t="n"/>
      <c r="F53" s="92" t="n"/>
      <c r="G53" s="93" t="n"/>
      <c r="H53" s="94" t="n"/>
      <c r="I53" s="33" t="n"/>
      <c r="J53" s="33" t="n"/>
      <c r="K53" s="33" t="n"/>
      <c r="L53" s="93" t="n"/>
      <c r="M53" s="93" t="n"/>
      <c r="N53" s="126" t="n"/>
      <c r="O53" s="126" t="n"/>
      <c r="P53" s="127" t="n"/>
      <c r="Q53" s="97" t="n"/>
      <c r="R53" s="98" t="n"/>
      <c r="S53" s="126" t="n"/>
      <c r="T53" s="126" t="n"/>
      <c r="U53" s="127" t="n"/>
      <c r="V53" s="98" t="n"/>
      <c r="W53" s="98" t="n"/>
      <c r="X53" s="98" t="n"/>
    </row>
    <row r="54" ht="33" customHeight="1" s="99">
      <c r="A54" s="89" t="n"/>
      <c r="B54" s="90" t="n"/>
      <c r="C54" s="91" t="n"/>
      <c r="D54" s="91" t="n"/>
      <c r="E54" s="91" t="n"/>
      <c r="F54" s="92" t="n"/>
      <c r="G54" s="93" t="n"/>
      <c r="H54" s="94" t="n"/>
      <c r="I54" s="33" t="n"/>
      <c r="J54" s="33" t="n"/>
      <c r="K54" s="33" t="n"/>
      <c r="L54" s="93" t="n"/>
      <c r="M54" s="93" t="n"/>
      <c r="N54" s="126" t="n"/>
      <c r="O54" s="126" t="n"/>
      <c r="P54" s="127" t="n"/>
      <c r="Q54" s="97" t="n"/>
      <c r="R54" s="98" t="n"/>
      <c r="S54" s="126" t="n"/>
      <c r="T54" s="126" t="n"/>
      <c r="U54" s="127" t="n"/>
      <c r="V54" s="98" t="n"/>
      <c r="W54" s="98" t="n"/>
      <c r="X54" s="98" t="n"/>
    </row>
    <row r="55" ht="33" customHeight="1" s="99">
      <c r="A55" s="89" t="n"/>
      <c r="B55" s="90" t="n"/>
      <c r="C55" s="91" t="n"/>
      <c r="D55" s="91" t="n"/>
      <c r="E55" s="91" t="n"/>
      <c r="F55" s="92" t="n"/>
      <c r="G55" s="93" t="n"/>
      <c r="H55" s="94" t="n"/>
      <c r="I55" s="33" t="n"/>
      <c r="J55" s="33" t="n"/>
      <c r="K55" s="33" t="n"/>
      <c r="L55" s="93" t="n"/>
      <c r="M55" s="93" t="n"/>
      <c r="N55" s="126" t="n"/>
      <c r="O55" s="126" t="n"/>
      <c r="P55" s="127" t="n"/>
      <c r="Q55" s="97" t="n"/>
      <c r="R55" s="98" t="n"/>
      <c r="S55" s="126" t="n"/>
      <c r="T55" s="126" t="n"/>
      <c r="U55" s="127" t="n"/>
      <c r="V55" s="98" t="n"/>
      <c r="W55" s="98" t="n"/>
      <c r="X55" s="98" t="n"/>
    </row>
    <row r="56" ht="33" customHeight="1" s="99">
      <c r="A56" s="89" t="n"/>
      <c r="B56" s="90" t="n"/>
      <c r="C56" s="91" t="n"/>
      <c r="D56" s="91" t="n"/>
      <c r="E56" s="91" t="n"/>
      <c r="F56" s="92" t="n"/>
      <c r="G56" s="93" t="n"/>
      <c r="H56" s="94" t="n"/>
      <c r="I56" s="33" t="n"/>
      <c r="J56" s="33" t="n"/>
      <c r="K56" s="33" t="n"/>
      <c r="L56" s="93" t="n"/>
      <c r="M56" s="93" t="n"/>
      <c r="N56" s="126" t="n"/>
      <c r="O56" s="126" t="n"/>
      <c r="P56" s="127" t="n"/>
      <c r="Q56" s="97" t="n"/>
      <c r="R56" s="98" t="n"/>
      <c r="S56" s="126" t="n"/>
      <c r="T56" s="126" t="n"/>
      <c r="U56" s="127" t="n"/>
      <c r="V56" s="98" t="n"/>
      <c r="W56" s="98" t="n"/>
      <c r="X56" s="98" t="n"/>
    </row>
    <row r="57" ht="33" customHeight="1" s="99">
      <c r="A57" s="89" t="n"/>
      <c r="B57" s="90" t="n"/>
      <c r="C57" s="91" t="n"/>
      <c r="D57" s="91" t="n"/>
      <c r="E57" s="91" t="n"/>
      <c r="F57" s="92" t="n"/>
      <c r="G57" s="93" t="n"/>
      <c r="H57" s="94" t="n"/>
      <c r="I57" s="33" t="n"/>
      <c r="J57" s="33" t="n"/>
      <c r="K57" s="33" t="n"/>
      <c r="L57" s="93" t="n"/>
      <c r="M57" s="93" t="n"/>
      <c r="N57" s="126" t="n"/>
      <c r="O57" s="126" t="n"/>
      <c r="P57" s="127" t="n"/>
      <c r="Q57" s="97" t="n"/>
      <c r="R57" s="98" t="n"/>
      <c r="S57" s="126" t="n"/>
      <c r="T57" s="126" t="n"/>
      <c r="U57" s="127" t="n"/>
      <c r="V57" s="98" t="n"/>
      <c r="W57" s="98" t="n"/>
      <c r="X57" s="98" t="n"/>
    </row>
    <row r="58" ht="33" customHeight="1" s="99">
      <c r="A58" s="89" t="n"/>
      <c r="B58" s="90" t="n"/>
      <c r="C58" s="91" t="n"/>
      <c r="D58" s="91" t="n"/>
      <c r="E58" s="91" t="n"/>
      <c r="F58" s="92" t="n"/>
      <c r="G58" s="93" t="n"/>
      <c r="H58" s="94" t="n"/>
      <c r="I58" s="33" t="n"/>
      <c r="J58" s="33" t="n"/>
      <c r="K58" s="33" t="n"/>
      <c r="L58" s="93" t="n"/>
      <c r="M58" s="93" t="n"/>
      <c r="N58" s="126" t="n"/>
      <c r="O58" s="126" t="n"/>
      <c r="P58" s="127" t="n"/>
      <c r="Q58" s="97" t="n"/>
      <c r="R58" s="98" t="n"/>
      <c r="S58" s="126" t="n"/>
      <c r="T58" s="126" t="n"/>
      <c r="U58" s="127" t="n"/>
      <c r="V58" s="98" t="n"/>
      <c r="W58" s="98" t="n"/>
      <c r="X58" s="98" t="n"/>
    </row>
    <row r="59" ht="33" customHeight="1" s="99">
      <c r="A59" s="89" t="n"/>
      <c r="B59" s="90" t="n"/>
      <c r="C59" s="91" t="n"/>
      <c r="D59" s="91" t="n"/>
      <c r="E59" s="91" t="n"/>
      <c r="F59" s="92" t="n"/>
      <c r="G59" s="93" t="n"/>
      <c r="H59" s="94" t="n"/>
      <c r="I59" s="33" t="n"/>
      <c r="J59" s="33" t="n"/>
      <c r="K59" s="33" t="n"/>
      <c r="L59" s="93" t="n"/>
      <c r="M59" s="93" t="n"/>
      <c r="N59" s="126" t="n"/>
      <c r="O59" s="126" t="n"/>
      <c r="P59" s="127" t="n"/>
      <c r="Q59" s="97" t="n"/>
      <c r="R59" s="98" t="n"/>
      <c r="S59" s="126" t="n"/>
      <c r="T59" s="126" t="n"/>
      <c r="U59" s="127" t="n"/>
      <c r="V59" s="98" t="n"/>
      <c r="W59" s="98" t="n"/>
      <c r="X59" s="98" t="n"/>
    </row>
    <row r="60" ht="33" customHeight="1" s="99">
      <c r="A60" s="89" t="n"/>
      <c r="B60" s="90" t="n"/>
      <c r="C60" s="91" t="n"/>
      <c r="D60" s="91" t="n"/>
      <c r="E60" s="91" t="n"/>
      <c r="F60" s="92" t="n"/>
      <c r="G60" s="93" t="n"/>
      <c r="H60" s="94" t="n"/>
      <c r="I60" s="33" t="n"/>
      <c r="J60" s="33" t="n"/>
      <c r="K60" s="33" t="n"/>
      <c r="L60" s="93" t="n"/>
      <c r="M60" s="93" t="n"/>
      <c r="N60" s="126" t="n"/>
      <c r="O60" s="126" t="n"/>
      <c r="P60" s="127" t="n"/>
      <c r="Q60" s="97" t="n"/>
      <c r="R60" s="98" t="n"/>
      <c r="S60" s="126" t="n"/>
      <c r="T60" s="126" t="n"/>
      <c r="U60" s="127" t="n"/>
      <c r="V60" s="98" t="n"/>
      <c r="W60" s="98" t="n"/>
      <c r="X60" s="98" t="n"/>
    </row>
    <row r="61" ht="33" customHeight="1" s="99">
      <c r="A61" s="89" t="n"/>
      <c r="B61" s="90" t="n"/>
      <c r="C61" s="91" t="n"/>
      <c r="D61" s="91" t="n"/>
      <c r="E61" s="91" t="n"/>
      <c r="F61" s="92" t="n"/>
      <c r="G61" s="93" t="n"/>
      <c r="H61" s="94" t="n"/>
      <c r="I61" s="33" t="n"/>
      <c r="J61" s="33" t="n"/>
      <c r="K61" s="33" t="n"/>
      <c r="L61" s="93" t="n"/>
      <c r="M61" s="93" t="n"/>
      <c r="N61" s="126" t="n"/>
      <c r="O61" s="126" t="n"/>
      <c r="P61" s="127" t="n"/>
      <c r="Q61" s="97" t="n"/>
      <c r="R61" s="98" t="n"/>
      <c r="S61" s="126" t="n"/>
      <c r="T61" s="126" t="n"/>
      <c r="U61" s="127" t="n"/>
      <c r="V61" s="98" t="n"/>
      <c r="W61" s="98" t="n"/>
      <c r="X61" s="98" t="n"/>
    </row>
    <row r="62" ht="33" customHeight="1" s="99">
      <c r="A62" s="89" t="n"/>
      <c r="B62" s="90" t="n"/>
      <c r="C62" s="91" t="n"/>
      <c r="D62" s="91" t="n"/>
      <c r="E62" s="91" t="n"/>
      <c r="F62" s="92" t="n"/>
      <c r="G62" s="93" t="n"/>
      <c r="H62" s="94" t="n"/>
      <c r="I62" s="33" t="n"/>
      <c r="J62" s="33" t="n"/>
      <c r="K62" s="33" t="n"/>
      <c r="L62" s="93" t="n"/>
      <c r="M62" s="93" t="n"/>
      <c r="N62" s="126" t="n"/>
      <c r="O62" s="126" t="n"/>
      <c r="P62" s="127" t="n"/>
      <c r="Q62" s="97" t="n"/>
      <c r="R62" s="98" t="n"/>
      <c r="S62" s="126" t="n"/>
      <c r="T62" s="126" t="n"/>
      <c r="U62" s="127" t="n"/>
      <c r="V62" s="98" t="n"/>
      <c r="W62" s="98" t="n"/>
      <c r="X62" s="98" t="n"/>
    </row>
    <row r="63" ht="33" customHeight="1" s="99">
      <c r="A63" s="89" t="n"/>
      <c r="B63" s="90" t="n"/>
      <c r="C63" s="91" t="n"/>
      <c r="D63" s="91" t="n"/>
      <c r="E63" s="91" t="n"/>
      <c r="F63" s="92" t="n"/>
      <c r="G63" s="93" t="n"/>
      <c r="H63" s="94" t="n"/>
      <c r="I63" s="33" t="n"/>
      <c r="J63" s="33" t="n"/>
      <c r="K63" s="33" t="n"/>
      <c r="L63" s="93" t="n"/>
      <c r="M63" s="93" t="n"/>
      <c r="N63" s="126" t="n"/>
      <c r="O63" s="126" t="n"/>
      <c r="P63" s="127" t="n"/>
      <c r="Q63" s="97" t="n"/>
      <c r="R63" s="98" t="n"/>
      <c r="S63" s="126" t="n"/>
      <c r="T63" s="126" t="n"/>
      <c r="U63" s="127" t="n"/>
      <c r="V63" s="98" t="n"/>
      <c r="W63" s="98" t="n"/>
      <c r="X63" s="98" t="n"/>
    </row>
    <row r="64" ht="33" customHeight="1" s="99">
      <c r="A64" s="89" t="n"/>
      <c r="B64" s="90" t="n"/>
      <c r="C64" s="91" t="n"/>
      <c r="D64" s="91" t="n"/>
      <c r="E64" s="91" t="n"/>
      <c r="F64" s="92" t="n"/>
      <c r="G64" s="93" t="n"/>
      <c r="H64" s="94" t="n"/>
      <c r="I64" s="33" t="n"/>
      <c r="J64" s="33" t="n"/>
      <c r="K64" s="33" t="n"/>
      <c r="L64" s="93" t="n"/>
      <c r="M64" s="93" t="n"/>
      <c r="N64" s="126" t="n"/>
      <c r="O64" s="126" t="n"/>
      <c r="P64" s="127" t="n"/>
      <c r="Q64" s="97" t="n"/>
      <c r="R64" s="98" t="n"/>
      <c r="S64" s="126" t="n"/>
      <c r="T64" s="126" t="n"/>
      <c r="U64" s="127" t="n"/>
      <c r="V64" s="98" t="n"/>
      <c r="W64" s="98" t="n"/>
      <c r="X64" s="98" t="n"/>
    </row>
    <row r="65" ht="33" customHeight="1" s="99">
      <c r="A65" s="89" t="n"/>
      <c r="B65" s="90" t="n"/>
      <c r="C65" s="91" t="n"/>
      <c r="D65" s="91" t="n"/>
      <c r="E65" s="91" t="n"/>
      <c r="F65" s="92" t="n"/>
      <c r="G65" s="93" t="n"/>
      <c r="H65" s="94" t="n"/>
      <c r="I65" s="33" t="n"/>
      <c r="J65" s="33" t="n"/>
      <c r="K65" s="33" t="n"/>
      <c r="L65" s="93" t="n"/>
      <c r="M65" s="93" t="n"/>
      <c r="N65" s="126" t="n"/>
      <c r="O65" s="126" t="n"/>
      <c r="P65" s="127" t="n"/>
      <c r="Q65" s="97" t="n"/>
      <c r="R65" s="98" t="n"/>
      <c r="S65" s="126" t="n"/>
      <c r="T65" s="126" t="n"/>
      <c r="U65" s="127" t="n"/>
      <c r="V65" s="98" t="n"/>
      <c r="W65" s="98" t="n"/>
      <c r="X65" s="98" t="n"/>
    </row>
    <row r="66" ht="33" customHeight="1" s="99">
      <c r="A66" s="89" t="n"/>
      <c r="B66" s="90" t="n"/>
      <c r="C66" s="91" t="n"/>
      <c r="D66" s="91" t="n"/>
      <c r="E66" s="91" t="n"/>
      <c r="F66" s="92" t="n"/>
      <c r="G66" s="93" t="n"/>
      <c r="H66" s="94" t="n"/>
      <c r="I66" s="33" t="n"/>
      <c r="J66" s="33" t="n"/>
      <c r="K66" s="33" t="n"/>
      <c r="L66" s="93" t="n"/>
      <c r="M66" s="93" t="n"/>
      <c r="N66" s="126" t="n"/>
      <c r="O66" s="126" t="n"/>
      <c r="P66" s="127" t="n"/>
      <c r="Q66" s="97" t="n"/>
      <c r="R66" s="98" t="n"/>
      <c r="S66" s="126" t="n"/>
      <c r="T66" s="126" t="n"/>
      <c r="U66" s="127" t="n"/>
      <c r="V66" s="98" t="n"/>
      <c r="W66" s="98" t="n"/>
      <c r="X66" s="98" t="n"/>
    </row>
    <row r="67" ht="33" customHeight="1" s="99">
      <c r="A67" s="89" t="n"/>
      <c r="B67" s="90" t="n"/>
      <c r="C67" s="91" t="n"/>
      <c r="D67" s="91" t="n"/>
      <c r="E67" s="91" t="n"/>
      <c r="F67" s="92" t="n"/>
      <c r="G67" s="93" t="n"/>
      <c r="H67" s="94" t="n"/>
      <c r="I67" s="33" t="n"/>
      <c r="J67" s="33" t="n"/>
      <c r="K67" s="33" t="n"/>
      <c r="L67" s="93" t="n"/>
      <c r="M67" s="93" t="n"/>
      <c r="N67" s="126" t="n"/>
      <c r="O67" s="126" t="n"/>
      <c r="P67" s="127" t="n"/>
      <c r="Q67" s="97" t="n"/>
      <c r="R67" s="98" t="n"/>
      <c r="S67" s="126" t="n"/>
      <c r="T67" s="126" t="n"/>
      <c r="U67" s="127" t="n"/>
      <c r="V67" s="98" t="n"/>
      <c r="W67" s="98" t="n"/>
      <c r="X67" s="98" t="n"/>
    </row>
    <row r="68" ht="33" customHeight="1" s="99">
      <c r="A68" s="89" t="n"/>
      <c r="B68" s="90" t="n"/>
      <c r="C68" s="91" t="n"/>
      <c r="D68" s="91" t="n"/>
      <c r="E68" s="91" t="n"/>
      <c r="F68" s="92" t="n"/>
      <c r="G68" s="93" t="n"/>
      <c r="H68" s="94" t="n"/>
      <c r="I68" s="33" t="n"/>
      <c r="J68" s="33" t="n"/>
      <c r="K68" s="33" t="n"/>
      <c r="L68" s="93" t="n"/>
      <c r="M68" s="93" t="n"/>
      <c r="N68" s="126" t="n"/>
      <c r="O68" s="126" t="n"/>
      <c r="P68" s="127" t="n"/>
      <c r="Q68" s="97" t="n"/>
      <c r="R68" s="98" t="n"/>
      <c r="S68" s="126" t="n"/>
      <c r="T68" s="126" t="n"/>
      <c r="U68" s="127" t="n"/>
      <c r="V68" s="98" t="n"/>
      <c r="W68" s="98" t="n"/>
      <c r="X68" s="98" t="n"/>
    </row>
    <row r="69" ht="33" customHeight="1" s="99">
      <c r="A69" s="89" t="n"/>
      <c r="B69" s="90" t="n"/>
      <c r="C69" s="91" t="n"/>
      <c r="D69" s="91" t="n"/>
      <c r="E69" s="91" t="n"/>
      <c r="F69" s="92" t="n"/>
      <c r="G69" s="93" t="n"/>
      <c r="H69" s="94" t="n"/>
      <c r="I69" s="33" t="n"/>
      <c r="J69" s="33" t="n"/>
      <c r="K69" s="33" t="n"/>
      <c r="L69" s="93" t="n"/>
      <c r="M69" s="93" t="n"/>
      <c r="N69" s="126" t="n"/>
      <c r="O69" s="126" t="n"/>
      <c r="P69" s="127" t="n"/>
      <c r="Q69" s="97" t="n"/>
      <c r="R69" s="98" t="n"/>
      <c r="S69" s="126" t="n"/>
      <c r="T69" s="126" t="n"/>
      <c r="U69" s="127" t="n"/>
      <c r="V69" s="98" t="n"/>
      <c r="W69" s="98" t="n"/>
      <c r="X69" s="98" t="n"/>
    </row>
    <row r="70" ht="33" customHeight="1" s="99">
      <c r="A70" s="89" t="n"/>
      <c r="B70" s="90" t="n"/>
      <c r="C70" s="91" t="n"/>
      <c r="D70" s="91" t="n"/>
      <c r="E70" s="91" t="n"/>
      <c r="F70" s="92" t="n"/>
      <c r="G70" s="93" t="n"/>
      <c r="H70" s="94" t="n"/>
      <c r="I70" s="33" t="n"/>
      <c r="J70" s="33" t="n"/>
      <c r="K70" s="33" t="n"/>
      <c r="L70" s="93" t="n"/>
      <c r="M70" s="93" t="n"/>
      <c r="N70" s="126" t="n"/>
      <c r="O70" s="126" t="n"/>
      <c r="P70" s="127" t="n"/>
      <c r="Q70" s="97" t="n"/>
      <c r="R70" s="98" t="n"/>
      <c r="S70" s="126" t="n"/>
      <c r="T70" s="126" t="n"/>
      <c r="U70" s="127" t="n"/>
      <c r="V70" s="98" t="n"/>
      <c r="W70" s="98" t="n"/>
      <c r="X70" s="98" t="n"/>
    </row>
    <row r="71" ht="33" customHeight="1" s="99">
      <c r="A71" s="89" t="n"/>
      <c r="B71" s="90" t="n"/>
      <c r="C71" s="91" t="n"/>
      <c r="D71" s="91" t="n"/>
      <c r="E71" s="91" t="n"/>
      <c r="F71" s="92" t="n"/>
      <c r="G71" s="93" t="n"/>
      <c r="H71" s="94" t="n"/>
      <c r="I71" s="33" t="n"/>
      <c r="J71" s="33" t="n"/>
      <c r="K71" s="33" t="n"/>
      <c r="L71" s="93" t="n"/>
      <c r="M71" s="93" t="n"/>
      <c r="N71" s="126" t="n"/>
      <c r="O71" s="126" t="n"/>
      <c r="P71" s="127" t="n"/>
      <c r="Q71" s="97" t="n"/>
      <c r="R71" s="98" t="n"/>
      <c r="S71" s="126" t="n"/>
      <c r="T71" s="126" t="n"/>
      <c r="U71" s="127" t="n"/>
      <c r="V71" s="98" t="n"/>
      <c r="W71" s="98" t="n"/>
      <c r="X71" s="98" t="n"/>
    </row>
    <row r="72" ht="33" customHeight="1" s="99">
      <c r="A72" s="89" t="n"/>
      <c r="B72" s="90" t="n"/>
      <c r="C72" s="91" t="n"/>
      <c r="D72" s="91" t="n"/>
      <c r="E72" s="91" t="n"/>
      <c r="F72" s="92" t="n"/>
      <c r="G72" s="93" t="n"/>
      <c r="H72" s="94" t="n"/>
      <c r="I72" s="33" t="n"/>
      <c r="J72" s="33" t="n"/>
      <c r="K72" s="33" t="n"/>
      <c r="L72" s="93" t="n"/>
      <c r="M72" s="93" t="n"/>
      <c r="N72" s="126" t="n"/>
      <c r="O72" s="126" t="n"/>
      <c r="P72" s="127" t="n"/>
      <c r="Q72" s="97" t="n"/>
      <c r="R72" s="98" t="n"/>
      <c r="S72" s="126" t="n"/>
      <c r="T72" s="126" t="n"/>
      <c r="U72" s="127" t="n"/>
      <c r="V72" s="98" t="n"/>
      <c r="W72" s="98" t="n"/>
      <c r="X72" s="98" t="n"/>
    </row>
    <row r="73" ht="33" customHeight="1" s="99">
      <c r="A73" s="89" t="n"/>
      <c r="B73" s="90" t="n"/>
      <c r="C73" s="91" t="n"/>
      <c r="D73" s="91" t="n"/>
      <c r="E73" s="91" t="n"/>
      <c r="F73" s="92" t="n"/>
      <c r="G73" s="93" t="n"/>
      <c r="H73" s="94" t="n"/>
      <c r="I73" s="33" t="n"/>
      <c r="J73" s="33" t="n"/>
      <c r="K73" s="33" t="n"/>
      <c r="L73" s="93" t="n"/>
      <c r="M73" s="93" t="n"/>
      <c r="N73" s="126" t="n"/>
      <c r="O73" s="126" t="n"/>
      <c r="P73" s="127" t="n"/>
      <c r="Q73" s="97" t="n"/>
      <c r="R73" s="98" t="n"/>
      <c r="S73" s="126" t="n"/>
      <c r="T73" s="126" t="n"/>
      <c r="U73" s="127" t="n"/>
      <c r="V73" s="98" t="n"/>
      <c r="W73" s="98" t="n"/>
      <c r="X73" s="98" t="n"/>
    </row>
    <row r="74" ht="33" customHeight="1" s="99">
      <c r="A74" s="89" t="n"/>
      <c r="B74" s="90" t="n"/>
      <c r="C74" s="91" t="n"/>
      <c r="D74" s="91" t="n"/>
      <c r="E74" s="91" t="n"/>
      <c r="F74" s="92" t="n"/>
      <c r="G74" s="93" t="n"/>
      <c r="H74" s="94" t="n"/>
      <c r="I74" s="33" t="n"/>
      <c r="J74" s="33" t="n"/>
      <c r="K74" s="33" t="n"/>
      <c r="L74" s="93" t="n"/>
      <c r="M74" s="93" t="n"/>
      <c r="N74" s="126" t="n"/>
      <c r="O74" s="126" t="n"/>
      <c r="P74" s="127" t="n"/>
      <c r="Q74" s="97" t="n"/>
      <c r="R74" s="98" t="n"/>
      <c r="S74" s="126" t="n"/>
      <c r="T74" s="126" t="n"/>
      <c r="U74" s="127" t="n"/>
      <c r="V74" s="98" t="n"/>
      <c r="W74" s="98" t="n"/>
      <c r="X74" s="98" t="n"/>
    </row>
    <row r="75" ht="33" customHeight="1" s="99">
      <c r="A75" s="89" t="n"/>
      <c r="B75" s="90" t="n"/>
      <c r="C75" s="91" t="n"/>
      <c r="D75" s="91" t="n"/>
      <c r="E75" s="91" t="n"/>
      <c r="F75" s="92" t="n"/>
      <c r="G75" s="93" t="n"/>
      <c r="H75" s="94" t="n"/>
      <c r="I75" s="33" t="n"/>
      <c r="J75" s="33" t="n"/>
      <c r="K75" s="33" t="n"/>
      <c r="L75" s="93" t="n"/>
      <c r="M75" s="93" t="n"/>
      <c r="N75" s="126" t="n"/>
      <c r="O75" s="126" t="n"/>
      <c r="P75" s="127" t="n"/>
      <c r="Q75" s="97" t="n"/>
      <c r="R75" s="98" t="n"/>
      <c r="S75" s="126" t="n"/>
      <c r="T75" s="126" t="n"/>
      <c r="U75" s="127" t="n"/>
      <c r="V75" s="98" t="n"/>
      <c r="W75" s="98" t="n"/>
      <c r="X75" s="98" t="n"/>
    </row>
    <row r="76" ht="33" customHeight="1" s="99">
      <c r="A76" s="89" t="n"/>
      <c r="B76" s="90" t="n"/>
      <c r="C76" s="91" t="n"/>
      <c r="D76" s="91" t="n"/>
      <c r="E76" s="91" t="n"/>
      <c r="F76" s="92" t="n"/>
      <c r="G76" s="93" t="n"/>
      <c r="H76" s="94" t="n"/>
      <c r="I76" s="33" t="n"/>
      <c r="J76" s="33" t="n"/>
      <c r="K76" s="33" t="n"/>
      <c r="L76" s="93" t="n"/>
      <c r="M76" s="93" t="n"/>
      <c r="N76" s="126" t="n"/>
      <c r="O76" s="126" t="n"/>
      <c r="P76" s="127" t="n"/>
      <c r="Q76" s="97" t="n"/>
      <c r="R76" s="98" t="n"/>
      <c r="S76" s="126" t="n"/>
      <c r="T76" s="126" t="n"/>
      <c r="U76" s="127" t="n"/>
      <c r="V76" s="98" t="n"/>
      <c r="W76" s="98" t="n"/>
      <c r="X76" s="98" t="n"/>
    </row>
    <row r="77" ht="33" customHeight="1" s="99">
      <c r="A77" s="89" t="n"/>
      <c r="B77" s="90" t="n"/>
      <c r="C77" s="91" t="n"/>
      <c r="D77" s="91" t="n"/>
      <c r="E77" s="91" t="n"/>
      <c r="F77" s="92" t="n"/>
      <c r="G77" s="93" t="n"/>
      <c r="H77" s="94" t="n"/>
      <c r="I77" s="33" t="n"/>
      <c r="J77" s="33" t="n"/>
      <c r="K77" s="33" t="n"/>
      <c r="L77" s="93" t="n"/>
      <c r="M77" s="93" t="n"/>
      <c r="N77" s="126" t="n"/>
      <c r="O77" s="126" t="n"/>
      <c r="P77" s="127" t="n"/>
      <c r="Q77" s="97" t="n"/>
      <c r="R77" s="98" t="n"/>
      <c r="S77" s="126" t="n"/>
      <c r="T77" s="126" t="n"/>
      <c r="U77" s="127" t="n"/>
      <c r="V77" s="98" t="n"/>
      <c r="W77" s="98" t="n"/>
      <c r="X77" s="98" t="n"/>
    </row>
    <row r="78" ht="33" customHeight="1" s="99">
      <c r="A78" s="89" t="n"/>
      <c r="B78" s="90" t="n"/>
      <c r="C78" s="91" t="n"/>
      <c r="D78" s="91" t="n"/>
      <c r="E78" s="91" t="n"/>
      <c r="F78" s="92" t="n"/>
      <c r="G78" s="93" t="n"/>
      <c r="H78" s="94" t="n"/>
      <c r="I78" s="33" t="n"/>
      <c r="J78" s="33" t="n"/>
      <c r="K78" s="33" t="n"/>
      <c r="L78" s="93" t="n"/>
      <c r="M78" s="93" t="n"/>
      <c r="N78" s="126" t="n"/>
      <c r="O78" s="126" t="n"/>
      <c r="P78" s="127" t="n"/>
      <c r="Q78" s="97" t="n"/>
      <c r="R78" s="98" t="n"/>
      <c r="S78" s="126" t="n"/>
      <c r="T78" s="126" t="n"/>
      <c r="U78" s="127" t="n"/>
      <c r="V78" s="98" t="n"/>
      <c r="W78" s="98" t="n"/>
      <c r="X78" s="98" t="n"/>
    </row>
    <row r="79" ht="33" customHeight="1" s="99">
      <c r="A79" s="89" t="n"/>
      <c r="B79" s="90" t="n"/>
      <c r="C79" s="91" t="n"/>
      <c r="D79" s="91" t="n"/>
      <c r="E79" s="91" t="n"/>
      <c r="F79" s="92" t="n"/>
      <c r="G79" s="93" t="n"/>
      <c r="H79" s="94" t="n"/>
      <c r="I79" s="33" t="n"/>
      <c r="J79" s="33" t="n"/>
      <c r="K79" s="33" t="n"/>
      <c r="L79" s="93" t="n"/>
      <c r="M79" s="93" t="n"/>
      <c r="N79" s="126" t="n"/>
      <c r="O79" s="126" t="n"/>
      <c r="P79" s="127" t="n"/>
      <c r="Q79" s="97" t="n"/>
      <c r="R79" s="98" t="n"/>
      <c r="S79" s="126" t="n"/>
      <c r="T79" s="126" t="n"/>
      <c r="U79" s="127" t="n"/>
      <c r="V79" s="98" t="n"/>
      <c r="W79" s="98" t="n"/>
      <c r="X79" s="98" t="n"/>
    </row>
  </sheetData>
  <mergeCells count="29">
    <mergeCell ref="J6:L6"/>
    <mergeCell ref="I26:I29"/>
    <mergeCell ref="J7:K8"/>
    <mergeCell ref="J4:L4"/>
    <mergeCell ref="J28:K28"/>
    <mergeCell ref="A3:F3"/>
    <mergeCell ref="K23:K25"/>
    <mergeCell ref="J9:K9"/>
    <mergeCell ref="I6:I8"/>
    <mergeCell ref="K11:L11"/>
    <mergeCell ref="Q3:W3"/>
    <mergeCell ref="J27:K27"/>
    <mergeCell ref="H5:H29"/>
    <mergeCell ref="K15:K17"/>
    <mergeCell ref="J26:K26"/>
    <mergeCell ref="J18:J19"/>
    <mergeCell ref="I9:I17"/>
    <mergeCell ref="J20:J25"/>
    <mergeCell ref="K20:K22"/>
    <mergeCell ref="B2:E2"/>
    <mergeCell ref="I18:I25"/>
    <mergeCell ref="J5:L5"/>
    <mergeCell ref="J12:J17"/>
    <mergeCell ref="K10:L10"/>
    <mergeCell ref="G3:P3"/>
    <mergeCell ref="K19:L19"/>
    <mergeCell ref="K12:K14"/>
    <mergeCell ref="K18:L18"/>
    <mergeCell ref="J10:J11"/>
  </mergeCells>
  <conditionalFormatting sqref="Q5:Q29">
    <cfRule type="dataBar" priority="1">
      <dataBar>
        <cfvo type="num" val="0"/>
        <cfvo type="num" val="1"/>
        <color rgb="FF92D050"/>
      </dataBar>
    </cfRule>
  </conditionalFormatting>
  <dataValidations count="1">
    <dataValidation sqref="B5:B79 W5:W79" showDropDown="0" showInputMessage="0" showErrorMessage="0" allowBlank="1" type="list">
      <formula1>"NOT_RUN,PASS,FAIL,BLOCKED,NEEDS_RETEST,通过,不通过,阻塞,待复测"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9" min="1" max="1"/>
    <col width="88" customWidth="1" style="99" min="2" max="2"/>
  </cols>
  <sheetData>
    <row r="1">
      <c r="A1" s="128" t="inlineStr">
        <is>
          <t>项目</t>
        </is>
      </c>
      <c r="B1" s="128" t="inlineStr">
        <is>
          <t>说明</t>
        </is>
      </c>
    </row>
    <row r="2">
      <c r="A2" s="129" t="inlineStr">
        <is>
          <t>模板来源</t>
        </is>
      </c>
      <c r="B2" s="129" t="inlineStr">
        <is>
          <t>保留 RPS330 版本测试范围表中的标准测试任务、功能点、层级和公式。</t>
        </is>
      </c>
    </row>
    <row r="3">
      <c r="A3" s="129" t="inlineStr">
        <is>
          <t>黑色字体</t>
        </is>
      </c>
      <c r="B3" s="129" t="inlineStr">
        <is>
          <t>标准测试任务内容，作为测试范围核心信息保留。</t>
        </is>
      </c>
    </row>
    <row r="4">
      <c r="A4" s="129" t="inlineStr">
        <is>
          <t>蓝色字体</t>
        </is>
      </c>
      <c r="B4" s="129" t="inlineStr">
        <is>
          <t>用户提供或确认字段，主要包括链路任务和测试用例编号。</t>
        </is>
      </c>
    </row>
    <row r="5">
      <c r="A5" s="129" t="inlineStr">
        <is>
          <t>红色字体</t>
        </is>
      </c>
      <c r="B5" s="129" t="inlineStr">
        <is>
          <t>测试执行过程中按实际情况更新，历史运行值已从模板中清理；公式字段保留。</t>
        </is>
      </c>
    </row>
    <row r="6">
      <c r="A6" s="129" t="inlineStr">
        <is>
          <t>使用方式</t>
        </is>
      </c>
      <c r="B6" s="129" t="inlineStr">
        <is>
          <t>正式测试时复制到 docs/formal-test-runs/&lt;run-id&gt;/ 后填写运行数据。</t>
        </is>
      </c>
    </row>
    <row r="7">
      <c r="A7" s="129" t="inlineStr">
        <is>
          <t>敏感信息</t>
        </is>
      </c>
      <c r="B7" s="129" t="inlineStr">
        <is>
          <t>不得写入账号、密码、token、JDBC、内网 URL、密钥。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2026-05-11T22:53:00Z</dcterms:created>
  <dcterms:modified xmlns:dcterms="http://purl.org/dc/terms/" xmlns:xsi="http://www.w3.org/2001/XMLSchema-instance" xsi:type="dcterms:W3CDTF">2026-05-11T08:25:37Z</dcterms:modified>
  <cp:lastModifiedBy>zhonghao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EB603C38A68C9D46687E016A908505A0_42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